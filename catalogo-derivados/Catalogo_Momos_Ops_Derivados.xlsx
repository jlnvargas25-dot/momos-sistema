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74f17adee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5ebc5219a26f4f04"/>
    <x:sheet xmlns:r="http://schemas.openxmlformats.org/officeDocument/2006/relationships" name="Productos" sheetId="2" r:id="Rf769d47f390146f2"/>
    <x:sheet xmlns:r="http://schemas.openxmlformats.org/officeDocument/2006/relationships" name="BOM" sheetId="3" r:id="R2a790226761f4212"/>
    <x:sheet xmlns:r="http://schemas.openxmlformats.org/officeDocument/2006/relationships" name="Rutas" sheetId="4" r:id="R21d3b03d376d4a51"/>
    <x:sheet xmlns:r="http://schemas.openxmlformats.org/officeDocument/2006/relationships" name="Componentes" sheetId="5" r:id="Rd14942985ea449eb"/>
    <x:sheet xmlns:r="http://schemas.openxmlformats.org/officeDocument/2006/relationships" name="Figuritas" sheetId="6" r:id="R5a60ba091a8d4445"/>
    <x:sheet xmlns:r="http://schemas.openxmlformats.org/officeDocument/2006/relationships" name="Roadmap" sheetId="7" r:id="Rdf453e8eba0e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A263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E3A5A"/>
      </x:patternFill>
    </x:fill>
    <x:fill>
      <x:patternFill patternType="solid">
        <x:fgColor rgb="FFF7D8E4"/>
      </x:patternFill>
    </x:fill>
    <x:fill>
      <x:patternFill patternType="solid">
        <x:fgColor rgb="FFC85C83"/>
      </x:patternFill>
    </x:fill>
  </x:fills>
  <x:borders count="24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6491a766d48dc" /><Relationship Type="http://schemas.openxmlformats.org/officeDocument/2006/relationships/theme" Target="/xl/theme/theme1.xml" Id="R3471c57059634766" /><Relationship Type="http://schemas.openxmlformats.org/officeDocument/2006/relationships/sharedStrings" Target="/xl/sharedStrings.xml" Id="R8d1eb61282ec4600" /><Relationship Type="http://schemas.openxmlformats.org/officeDocument/2006/relationships/worksheet" Target="/xl/worksheets/sheet1.xml" Id="R5ebc5219a26f4f04" /><Relationship Type="http://schemas.openxmlformats.org/officeDocument/2006/relationships/worksheet" Target="/xl/worksheets/sheet2.xml" Id="Rf769d47f390146f2" /><Relationship Type="http://schemas.openxmlformats.org/officeDocument/2006/relationships/worksheet" Target="/xl/worksheets/sheet3.xml" Id="R2a790226761f4212" /><Relationship Type="http://schemas.openxmlformats.org/officeDocument/2006/relationships/worksheet" Target="/xl/worksheets/sheet4.xml" Id="R21d3b03d376d4a51" /><Relationship Type="http://schemas.openxmlformats.org/officeDocument/2006/relationships/worksheet" Target="/xl/worksheets/sheet5.xml" Id="Rd14942985ea449eb" /><Relationship Type="http://schemas.openxmlformats.org/officeDocument/2006/relationships/worksheet" Target="/xl/worksheets/sheet6.xml" Id="R5a60ba091a8d4445" /><Relationship Type="http://schemas.openxmlformats.org/officeDocument/2006/relationships/worksheet" Target="/xl/worksheets/sheet7.xml" Id="Rdf453e8eba0e4de7" /></Relationships>
</file>

<file path=xl/tables/table1.xml><?xml version="1.0" encoding="utf-8"?>
<x:table xmlns:x="http://schemas.openxmlformats.org/spreadsheetml/2006/main" id="1" name="ProductosDerivados" displayName="ProductosDerivados" ref="A1:S70" headerRowCount="1">
  <x:tableColumns count="19">
    <x:tableColumn id="1" name="SKU"/>
    <x:tableColumn id="2" name="Nombre"/>
    <x:tableColumn id="3" name="Familia"/>
    <x:tableColumn id="4" name="Sabor"/>
    <x:tableColumn id="5" name="Línea"/>
    <x:tableColumn id="6" name="Peso base g"/>
    <x:tableColumn id="7" name="Figurita requerida"/>
    <x:tableColumn id="8" name="Item figurita"/>
    <x:tableColumn id="9" name="Peso figura g"/>
    <x:tableColumn id="10" name="Peso total g"/>
    <x:tableColumn id="11" name="Ruta"/>
    <x:tableColumn id="12" name="Momento descuento"/>
    <x:tableColumn id="13" name="Conservación"/>
    <x:tableColumn id="14" name="Modo stock"/>
    <x:tableColumn id="15" name="Estado"/>
    <x:tableColumn id="16" name="Activo lanzamiento"/>
    <x:tableColumn id="17" name="Nota"/>
    <x:tableColumn id="18" name="Suma BOM kg"/>
    <x:tableColumn id="19" name="Validación BOM"/>
  </x:tableColumns>
  <x:tableStyleInfo name="TableStyleMedium2" showRowStripes="1"/>
</x:table>
</file>

<file path=xl/tables/table2.xml><?xml version="1.0" encoding="utf-8"?>
<x:table xmlns:x="http://schemas.openxmlformats.org/spreadsheetml/2006/main" id="2" name="BomDerivados" displayName="BomDerivados" ref="A1:K336" headerRowCount="1">
  <x:tableColumns count="11">
    <x:tableColumn id="1" name="SKU"/>
    <x:tableColumn id="2" name="Producto"/>
    <x:tableColumn id="3" name="Código componente"/>
    <x:tableColumn id="4" name="Componente"/>
    <x:tableColumn id="5" name="Cantidad"/>
    <x:tableColumn id="6" name="Unidad"/>
    <x:tableColumn id="7" name="Cantidad kg"/>
    <x:tableColumn id="8" name="Tipo componente"/>
    <x:tableColumn id="9" name="Obligatorio"/>
    <x:tableColumn id="10" name="Momento descuento"/>
    <x:tableColumn id="11" name="Nota"/>
  </x:tableColumns>
  <x:tableStyleInfo name="TableStyleMedium2" showRowStripes="1"/>
</x:table>
</file>

<file path=xl/tables/table3.xml><?xml version="1.0" encoding="utf-8"?>
<x:table xmlns:x="http://schemas.openxmlformats.org/spreadsheetml/2006/main" id="3" name="RutasDerivados" displayName="RutasDerivados" ref="A1:D64" headerRowCount="1">
  <x:tableColumns count="4">
    <x:tableColumn id="1" name="Código ruta"/>
    <x:tableColumn id="2" name="Orden"/>
    <x:tableColumn id="3" name="Código paso"/>
    <x:tableColumn id="4" name="Descripción"/>
  </x:tableColumns>
  <x:tableStyleInfo name="TableStyleMedium2" showRowStripes="1"/>
</x:table>
</file>

<file path=xl/tables/table4.xml><?xml version="1.0" encoding="utf-8"?>
<x:table xmlns:x="http://schemas.openxmlformats.org/spreadsheetml/2006/main" id="4" name="ComponentesDerivados" displayName="ComponentesDerivados" ref="A1:G49" headerRowCount="1">
  <x:tableColumns count="7">
    <x:tableColumn id="1" name="Código componente"/>
    <x:tableColumn id="2" name="Nombre"/>
    <x:tableColumn id="3" name="Tipo"/>
    <x:tableColumn id="4" name="Unidad"/>
    <x:tableColumn id="5" name="Estado receta/insumo"/>
    <x:tableColumn id="6" name="Necesario lanzamiento"/>
    <x:tableColumn id="7" name="Nota"/>
  </x:tableColumns>
  <x:tableStyleInfo name="TableStyleMedium2" showRowStripes="1"/>
</x:table>
</file>

<file path=xl/tables/table5.xml><?xml version="1.0" encoding="utf-8"?>
<x:table xmlns:x="http://schemas.openxmlformats.org/spreadsheetml/2006/main" id="5" name="FiguritasHorizontales" displayName="FiguritasHorizontales" ref="A1:H12" headerRowCount="1">
  <x:tableColumns count="8">
    <x:tableColumn id="1" name="Código item"/>
    <x:tableColumn id="2" name="Nombre"/>
    <x:tableColumn id="3" name="Unidad"/>
    <x:tableColumn id="4" name="Mousse origen"/>
    <x:tableColumn id="5" name="Cantidad mousse kg"/>
    <x:tableColumn id="6" name="Peso real g"/>
    <x:tableColumn id="7" name="Estado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RoadmapProductos" displayName="RoadmapProductos" ref="A1:C7" headerRowCount="1">
  <x:tableColumns count="3">
    <x:tableColumn id="1" name="Producto/familia"/>
    <x:tableColumn id="2" name="Estado"/>
    <x:tableColumn id="3" name="Tratamiento en Momos Op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1c13df956a4b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729c8c7d34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b90315fd4046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2fd063ed7745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ca7e4a7ddb4e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ef22253d064ff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5" t="str">
        <x:v>CATÁLOGO DERIVADOS MOMOS OPS — BORRADOR TÉCNICO V1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Regla crítica</x:v>
      </x:c>
      <x:c r="B3" s="26" t="str">
        <x:v>Los productos Momo Cake, Cheesecake, Pavé y Cuchareable tienen 270 g de producto base + 1 figurita horizontal adicional.</x:v>
      </x:c>
    </x:row>
    <x:row r="4">
      <x:c r="A4" s="14" t="str">
        <x:v>Figurita</x:v>
      </x:c>
      <x:c r="B4" s="27" t="str">
        <x:v>La figurita se maneja como semiterminado por unidad (FIG-HOR-&lt;SABOR&gt;), no como gramos dentro del BOM final. Su peso queda pendiente hasta pesar el molde real.</x:v>
      </x:c>
    </x:row>
    <x:row r="5">
      <x:c r="A5" s="14" t="str">
        <x:v>BOM fijo</x:v>
      </x:c>
      <x:c r="B5" s="27" t="str">
        <x:v>Mientras no exista resolución dinámica por sabor, cada combinación familia+sabor es un SKU propio.</x:v>
      </x:c>
    </x:row>
    <x:row r="6">
      <x:c r="A6" s="14" t="str">
        <x:v>Momento de descuento</x:v>
      </x:c>
      <x:c r="B6" s="27" t="str">
        <x:v>Momo Cake/Cheesecake/Pavé/Cuchareable: AL_ENSAMBLAR. Sundae/Malteada/Crazy Rush: AL_PREPARAR. Yogurt Bites: AL_FABRICAR.</x:v>
      </x:c>
    </x:row>
    <x:row r="7">
      <x:c r="A7" s="14" t="str">
        <x:v>Validación</x:v>
      </x:c>
      <x:c r="B7" s="27" t="str">
        <x:v>Las fórmulas de derivados son borradores técnicos. No marcar como APROBADAS hasta prueba piloto, pesaje real, textura, empaque y rendimiento.</x:v>
      </x:c>
    </x:row>
    <x:row r="8">
      <x:c r="A8" s="14" t="str">
        <x:v>Control de suma</x:v>
      </x:c>
      <x:c r="B8" s="27" t="str">
        <x:v>El BOM en kg del producto base debe sumar 0.270 kg. La figurita en unidad se suma aparte.</x:v>
      </x:c>
    </x:row>
    <x:row r="9">
      <x:c r="A9" s="14" t="str">
        <x:v>Corrección importante</x:v>
      </x:c>
      <x:c r="B9" s="28" t="str">
        <x:v>Una receta como 0.270 kg cheesecake + 0.045 kg crocante + 0.030 kg salsa sumaría 345 g y no corresponde a un producto base de 270 g.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  <x:col min="13" max="13" width="18" hidden="0" customWidth="1"/>
    <x:col min="14" max="14" width="20" hidden="0" customWidth="1"/>
    <x:col min="15" max="15" width="22" hidden="0" customWidth="1"/>
    <x:col min="16" max="16" width="18" hidden="0" customWidth="1"/>
    <x:col min="17" max="17" width="52" hidden="0" customWidth="1"/>
    <x:col min="18" max="18" width="12" hidden="0" customWidth="1"/>
    <x:col min="19" max="19" width="16" hidden="0" customWidth="1"/>
  </x:cols>
  <x:sheetData>
    <x:row r="1">
      <x:c r="A1" s="42" t="str">
        <x:v>SKU</x:v>
      </x:c>
      <x:c r="B1" s="42" t="str">
        <x:v>Nombre</x:v>
      </x:c>
      <x:c r="C1" s="42" t="str">
        <x:v>Familia</x:v>
      </x:c>
      <x:c r="D1" s="42" t="str">
        <x:v>Sabor</x:v>
      </x:c>
      <x:c r="E1" s="42" t="str">
        <x:v>Línea</x:v>
      </x:c>
      <x:c r="F1" s="42" t="str">
        <x:v>Peso base g</x:v>
      </x:c>
      <x:c r="G1" s="42" t="str">
        <x:v>Figurita requerida</x:v>
      </x:c>
      <x:c r="H1" s="42" t="str">
        <x:v>Item figurita</x:v>
      </x:c>
      <x:c r="I1" s="42" t="str">
        <x:v>Peso figura g</x:v>
      </x:c>
      <x:c r="J1" s="42" t="str">
        <x:v>Peso total g</x:v>
      </x:c>
      <x:c r="K1" s="42" t="str">
        <x:v>Ruta</x:v>
      </x:c>
      <x:c r="L1" s="42" t="str">
        <x:v>Momento descuento</x:v>
      </x:c>
      <x:c r="M1" s="42" t="str">
        <x:v>Conservación</x:v>
      </x:c>
      <x:c r="N1" s="42" t="str">
        <x:v>Modo stock</x:v>
      </x:c>
      <x:c r="O1" s="42" t="str">
        <x:v>Estado</x:v>
      </x:c>
      <x:c r="P1" s="42" t="str">
        <x:v>Activo lanzamiento</x:v>
      </x:c>
      <x:c r="Q1" s="42" t="str">
        <x:v>Nota</x:v>
      </x:c>
      <x:c r="R1" s="42" t="str">
        <x:v>Suma BOM kg</x:v>
      </x:c>
      <x:c r="S1" s="42" t="str">
        <x:v>Validación BOM</x:v>
      </x:c>
    </x:row>
    <x:row r="2">
      <x:c r="A2" s="66" t="str">
        <x:v>MCK-MBI-270</x:v>
      </x:c>
      <x:c r="B2" s="67" t="str">
        <x:v>Momo Cake Mango biche</x:v>
      </x:c>
      <x:c r="C2" s="67" t="str">
        <x:v>Momo Cake</x:v>
      </x:c>
      <x:c r="D2" s="67" t="str">
        <x:v>Mango biche</x:v>
      </x:c>
      <x:c r="E2" s="67" t="str">
        <x:v>Frutal</x:v>
      </x:c>
      <x:c r="F2" s="101" t="n">
        <x:v>270</x:v>
      </x:c>
      <x:c r="G2" s="67" t="str">
        <x:v>SI</x:v>
      </x:c>
      <x:c r="H2" s="67" t="str">
        <x:v>FIG-HOR-MBI</x:v>
      </x:c>
      <x:c r="I2" s="107"/>
      <x:c r="J2" s="107" t="str">
        <x:f>IF(F2="","",IF(G2="NO",F2,IF(I2="","",F2+I2)))</x:f>
      </x:c>
      <x:c r="K2" s="67" t="str">
        <x:v>R-MCK-CONG</x:v>
      </x:c>
      <x:c r="L2" s="67" t="str">
        <x:v>AL_ENSAMBLAR</x:v>
      </x:c>
      <x:c r="M2" s="67" t="str">
        <x:v>CONGELADO</x:v>
      </x:c>
      <x:c r="N2" s="67" t="str">
        <x:v>PRODUCIR_PARA_STOCK</x:v>
      </x:c>
      <x:c r="O2" s="67" t="str">
        <x:v>BORRADOR_TECNICO_V1</x:v>
      </x:c>
      <x:c r="P2" s="67" t="str">
        <x:v>NO_HASTA_VALIDAR</x:v>
      </x:c>
      <x:c r="Q2" s="67" t="str">
        <x:v>BOM fija por sabor. Validar prueba piloto, rendimiento, textura y empaque antes de aprobar.</x:v>
      </x:c>
      <x:c r="R2" s="113" t="n">
        <x:f>SUMIF(BOM!$A:$A,A2,BOM!$G:$G)</x:f>
        <x:v>0.27</x:v>
      </x:c>
      <x:c r="S2" s="68" t="str">
        <x:f>IF(F2="","SIN BOM APROBADO",IF(ABS(R2-F2/1000)&lt;0.0001,"OK","REVISAR"))</x:f>
        <x:v>OK</x:v>
      </x:c>
    </x:row>
    <x:row r="3">
      <x:c r="A3" s="69" t="str">
        <x:v>MCK-COC-270</x:v>
      </x:c>
      <x:c r="B3" s="70" t="str">
        <x:v>Momo Cake Coco</x:v>
      </x:c>
      <x:c r="C3" s="70" t="str">
        <x:v>Momo Cake</x:v>
      </x:c>
      <x:c r="D3" s="70" t="str">
        <x:v>Coco</x:v>
      </x:c>
      <x:c r="E3" s="70" t="str">
        <x:v>Frutal</x:v>
      </x:c>
      <x:c r="F3" s="102" t="n">
        <x:v>270</x:v>
      </x:c>
      <x:c r="G3" s="70" t="str">
        <x:v>SI</x:v>
      </x:c>
      <x:c r="H3" s="70" t="str">
        <x:v>FIG-HOR-COC</x:v>
      </x:c>
      <x:c r="I3" s="108"/>
      <x:c r="J3" s="108" t="str">
        <x:f>IF(F3="","",IF(G3="NO",F3,IF(I3="","",F3+I3)))</x:f>
      </x:c>
      <x:c r="K3" s="70" t="str">
        <x:v>R-MCK-CONG</x:v>
      </x:c>
      <x:c r="L3" s="70" t="str">
        <x:v>AL_ENSAMBLAR</x:v>
      </x:c>
      <x:c r="M3" s="70" t="str">
        <x:v>CONGELADO</x:v>
      </x:c>
      <x:c r="N3" s="70" t="str">
        <x:v>PRODUCIR_PARA_STOCK</x:v>
      </x:c>
      <x:c r="O3" s="70" t="str">
        <x:v>BORRADOR_TECNICO_V1</x:v>
      </x:c>
      <x:c r="P3" s="70" t="str">
        <x:v>NO_HASTA_VALIDAR</x:v>
      </x:c>
      <x:c r="Q3" s="70" t="str">
        <x:v>BOM fija por sabor. Validar prueba piloto, rendimiento, textura y empaque antes de aprobar.</x:v>
      </x:c>
      <x:c r="R3" s="114" t="n">
        <x:f>SUMIF(BOM!$A:$A,A3,BOM!$G:$G)</x:f>
        <x:v>0.27</x:v>
      </x:c>
      <x:c r="S3" s="71" t="str">
        <x:f>IF(F3="","SIN BOM APROBADO",IF(ABS(R3-F3/1000)&lt;0.0001,"OK","REVISAR"))</x:f>
        <x:v>OK</x:v>
      </x:c>
    </x:row>
    <x:row r="4">
      <x:c r="A4" s="69" t="str">
        <x:v>MCK-MAR-270</x:v>
      </x:c>
      <x:c r="B4" s="70" t="str">
        <x:v>Momo Cake Maracuyá</x:v>
      </x:c>
      <x:c r="C4" s="70" t="str">
        <x:v>Momo Cake</x:v>
      </x:c>
      <x:c r="D4" s="70" t="str">
        <x:v>Maracuyá</x:v>
      </x:c>
      <x:c r="E4" s="70" t="str">
        <x:v>Frutal</x:v>
      </x:c>
      <x:c r="F4" s="102" t="n">
        <x:v>270</x:v>
      </x:c>
      <x:c r="G4" s="70" t="str">
        <x:v>SI</x:v>
      </x:c>
      <x:c r="H4" s="70" t="str">
        <x:v>FIG-HOR-MAR</x:v>
      </x:c>
      <x:c r="I4" s="108"/>
      <x:c r="J4" s="108" t="str">
        <x:f>IF(F4="","",IF(G4="NO",F4,IF(I4="","",F4+I4)))</x:f>
      </x:c>
      <x:c r="K4" s="70" t="str">
        <x:v>R-MCK-CONG</x:v>
      </x:c>
      <x:c r="L4" s="70" t="str">
        <x:v>AL_ENSAMBLAR</x:v>
      </x:c>
      <x:c r="M4" s="70" t="str">
        <x:v>CONGELADO</x:v>
      </x:c>
      <x:c r="N4" s="70" t="str">
        <x:v>PRODUCIR_PARA_STOCK</x:v>
      </x:c>
      <x:c r="O4" s="70" t="str">
        <x:v>BORRADOR_TECNICO_V1</x:v>
      </x:c>
      <x:c r="P4" s="70" t="str">
        <x:v>NO_HASTA_VALIDAR</x:v>
      </x:c>
      <x:c r="Q4" s="70" t="str">
        <x:v>BOM fija por sabor. Validar prueba piloto, rendimiento, textura y empaque antes de aprobar.</x:v>
      </x:c>
      <x:c r="R4" s="114" t="n">
        <x:f>SUMIF(BOM!$A:$A,A4,BOM!$G:$G)</x:f>
        <x:v>0.27</x:v>
      </x:c>
      <x:c r="S4" s="71" t="str">
        <x:f>IF(F4="","SIN BOM APROBADO",IF(ABS(R4-F4/1000)&lt;0.0001,"OK","REVISAR"))</x:f>
        <x:v>OK</x:v>
      </x:c>
    </x:row>
    <x:row r="5">
      <x:c r="A5" s="69" t="str">
        <x:v>MCK-LIM-270</x:v>
      </x:c>
      <x:c r="B5" s="70" t="str">
        <x:v>Momo Cake Limón</x:v>
      </x:c>
      <x:c r="C5" s="70" t="str">
        <x:v>Momo Cake</x:v>
      </x:c>
      <x:c r="D5" s="70" t="str">
        <x:v>Limón</x:v>
      </x:c>
      <x:c r="E5" s="70" t="str">
        <x:v>Frutal</x:v>
      </x:c>
      <x:c r="F5" s="102" t="n">
        <x:v>270</x:v>
      </x:c>
      <x:c r="G5" s="70" t="str">
        <x:v>SI</x:v>
      </x:c>
      <x:c r="H5" s="70" t="str">
        <x:v>FIG-HOR-LIM</x:v>
      </x:c>
      <x:c r="I5" s="108"/>
      <x:c r="J5" s="108" t="str">
        <x:f>IF(F5="","",IF(G5="NO",F5,IF(I5="","",F5+I5)))</x:f>
      </x:c>
      <x:c r="K5" s="70" t="str">
        <x:v>R-MCK-CONG</x:v>
      </x:c>
      <x:c r="L5" s="70" t="str">
        <x:v>AL_ENSAMBLAR</x:v>
      </x:c>
      <x:c r="M5" s="70" t="str">
        <x:v>CONGELADO</x:v>
      </x:c>
      <x:c r="N5" s="70" t="str">
        <x:v>PRODUCIR_PARA_STOCK</x:v>
      </x:c>
      <x:c r="O5" s="70" t="str">
        <x:v>BORRADOR_TECNICO_V1</x:v>
      </x:c>
      <x:c r="P5" s="70" t="str">
        <x:v>NO_HASTA_VALIDAR</x:v>
      </x:c>
      <x:c r="Q5" s="70" t="str">
        <x:v>BOM fija por sabor. Validar prueba piloto, rendimiento, textura y empaque antes de aprobar.</x:v>
      </x:c>
      <x:c r="R5" s="114" t="n">
        <x:f>SUMIF(BOM!$A:$A,A5,BOM!$G:$G)</x:f>
        <x:v>0.27</x:v>
      </x:c>
      <x:c r="S5" s="71" t="str">
        <x:f>IF(F5="","SIN BOM APROBADO",IF(ABS(R5-F5/1000)&lt;0.0001,"OK","REVISAR"))</x:f>
        <x:v>OK</x:v>
      </x:c>
    </x:row>
    <x:row r="6">
      <x:c r="A6" s="69" t="str">
        <x:v>MCK-BAN-270</x:v>
      </x:c>
      <x:c r="B6" s="70" t="str">
        <x:v>Momo Cake Banano</x:v>
      </x:c>
      <x:c r="C6" s="70" t="str">
        <x:v>Momo Cake</x:v>
      </x:c>
      <x:c r="D6" s="70" t="str">
        <x:v>Banano</x:v>
      </x:c>
      <x:c r="E6" s="70" t="str">
        <x:v>Frutal</x:v>
      </x:c>
      <x:c r="F6" s="102" t="n">
        <x:v>270</x:v>
      </x:c>
      <x:c r="G6" s="70" t="str">
        <x:v>SI</x:v>
      </x:c>
      <x:c r="H6" s="70" t="str">
        <x:v>FIG-HOR-BAN</x:v>
      </x:c>
      <x:c r="I6" s="108"/>
      <x:c r="J6" s="108" t="str">
        <x:f>IF(F6="","",IF(G6="NO",F6,IF(I6="","",F6+I6)))</x:f>
      </x:c>
      <x:c r="K6" s="70" t="str">
        <x:v>R-MCK-CONG</x:v>
      </x:c>
      <x:c r="L6" s="70" t="str">
        <x:v>AL_ENSAMBLAR</x:v>
      </x:c>
      <x:c r="M6" s="70" t="str">
        <x:v>CONGELADO</x:v>
      </x:c>
      <x:c r="N6" s="70" t="str">
        <x:v>PRODUCIR_PARA_STOCK</x:v>
      </x:c>
      <x:c r="O6" s="70" t="str">
        <x:v>BORRADOR_TECNICO_V1</x:v>
      </x:c>
      <x:c r="P6" s="70" t="str">
        <x:v>NO_HASTA_VALIDAR</x:v>
      </x:c>
      <x:c r="Q6" s="70" t="str">
        <x:v>BOM fija por sabor. Validar prueba piloto, rendimiento, textura y empaque antes de aprobar.</x:v>
      </x:c>
      <x:c r="R6" s="114" t="n">
        <x:f>SUMIF(BOM!$A:$A,A6,BOM!$G:$G)</x:f>
        <x:v>0.27</x:v>
      </x:c>
      <x:c r="S6" s="71" t="str">
        <x:f>IF(F6="","SIN BOM APROBADO",IF(ABS(R6-F6/1000)&lt;0.0001,"OK","REVISAR"))</x:f>
        <x:v>OK</x:v>
      </x:c>
    </x:row>
    <x:row r="7">
      <x:c r="A7" s="69" t="str">
        <x:v>MCK-DUR-270</x:v>
      </x:c>
      <x:c r="B7" s="70" t="str">
        <x:v>Momo Cake Durazno</x:v>
      </x:c>
      <x:c r="C7" s="70" t="str">
        <x:v>Momo Cake</x:v>
      </x:c>
      <x:c r="D7" s="70" t="str">
        <x:v>Durazno</x:v>
      </x:c>
      <x:c r="E7" s="70" t="str">
        <x:v>Frutal</x:v>
      </x:c>
      <x:c r="F7" s="102" t="n">
        <x:v>270</x:v>
      </x:c>
      <x:c r="G7" s="70" t="str">
        <x:v>SI</x:v>
      </x:c>
      <x:c r="H7" s="70" t="str">
        <x:v>FIG-HOR-DUR</x:v>
      </x:c>
      <x:c r="I7" s="108"/>
      <x:c r="J7" s="108" t="str">
        <x:f>IF(F7="","",IF(G7="NO",F7,IF(I7="","",F7+I7)))</x:f>
      </x:c>
      <x:c r="K7" s="70" t="str">
        <x:v>R-MCK-CONG</x:v>
      </x:c>
      <x:c r="L7" s="70" t="str">
        <x:v>AL_ENSAMBLAR</x:v>
      </x:c>
      <x:c r="M7" s="70" t="str">
        <x:v>CONGELADO</x:v>
      </x:c>
      <x:c r="N7" s="70" t="str">
        <x:v>PRODUCIR_PARA_STOCK</x:v>
      </x:c>
      <x:c r="O7" s="70" t="str">
        <x:v>BORRADOR_TECNICO_V1</x:v>
      </x:c>
      <x:c r="P7" s="70" t="str">
        <x:v>NO_HASTA_VALIDAR</x:v>
      </x:c>
      <x:c r="Q7" s="70" t="str">
        <x:v>BOM fija por sabor. Validar prueba piloto, rendimiento, textura y empaque antes de aprobar.</x:v>
      </x:c>
      <x:c r="R7" s="114" t="n">
        <x:f>SUMIF(BOM!$A:$A,A7,BOM!$G:$G)</x:f>
        <x:v>0.27</x:v>
      </x:c>
      <x:c r="S7" s="71" t="str">
        <x:f>IF(F7="","SIN BOM APROBADO",IF(ABS(R7-F7/1000)&lt;0.0001,"OK","REVISAR"))</x:f>
        <x:v>OK</x:v>
      </x:c>
    </x:row>
    <x:row r="8">
      <x:c r="A8" s="69" t="str">
        <x:v>MCK-MNM-270</x:v>
      </x:c>
      <x:c r="B8" s="70" t="str">
        <x:v>Momo Cake M&amp;M</x:v>
      </x:c>
      <x:c r="C8" s="70" t="str">
        <x:v>Momo Cake</x:v>
      </x:c>
      <x:c r="D8" s="70" t="str">
        <x:v>M&amp;M</x:v>
      </x:c>
      <x:c r="E8" s="70" t="str">
        <x:v>Cremosa</x:v>
      </x:c>
      <x:c r="F8" s="102" t="n">
        <x:v>270</x:v>
      </x:c>
      <x:c r="G8" s="70" t="str">
        <x:v>SI</x:v>
      </x:c>
      <x:c r="H8" s="70" t="str">
        <x:v>FIG-HOR-MNM</x:v>
      </x:c>
      <x:c r="I8" s="108"/>
      <x:c r="J8" s="108" t="str">
        <x:f>IF(F8="","",IF(G8="NO",F8,IF(I8="","",F8+I8)))</x:f>
      </x:c>
      <x:c r="K8" s="70" t="str">
        <x:v>R-MCK-CONG</x:v>
      </x:c>
      <x:c r="L8" s="70" t="str">
        <x:v>AL_ENSAMBLAR</x:v>
      </x:c>
      <x:c r="M8" s="70" t="str">
        <x:v>CONGELADO</x:v>
      </x:c>
      <x:c r="N8" s="70" t="str">
        <x:v>PRODUCIR_PARA_STOCK</x:v>
      </x:c>
      <x:c r="O8" s="70" t="str">
        <x:v>BORRADOR_TECNICO_V1</x:v>
      </x:c>
      <x:c r="P8" s="70" t="str">
        <x:v>NO_HASTA_VALIDAR</x:v>
      </x:c>
      <x:c r="Q8" s="70" t="str">
        <x:v>BOM fija por sabor. Validar prueba piloto, rendimiento, textura y empaque antes de aprobar.</x:v>
      </x:c>
      <x:c r="R8" s="114" t="n">
        <x:f>SUMIF(BOM!$A:$A,A8,BOM!$G:$G)</x:f>
        <x:v>0.27</x:v>
      </x:c>
      <x:c r="S8" s="71" t="str">
        <x:f>IF(F8="","SIN BOM APROBADO",IF(ABS(R8-F8/1000)&lt;0.0001,"OK","REVISAR"))</x:f>
        <x:v>OK</x:v>
      </x:c>
    </x:row>
    <x:row r="9">
      <x:c r="A9" s="69" t="str">
        <x:v>MCK-ORE-270</x:v>
      </x:c>
      <x:c r="B9" s="70" t="str">
        <x:v>Momo Cake Oreo</x:v>
      </x:c>
      <x:c r="C9" s="70" t="str">
        <x:v>Momo Cake</x:v>
      </x:c>
      <x:c r="D9" s="70" t="str">
        <x:v>Oreo</x:v>
      </x:c>
      <x:c r="E9" s="70" t="str">
        <x:v>Cremosa</x:v>
      </x:c>
      <x:c r="F9" s="102" t="n">
        <x:v>270</x:v>
      </x:c>
      <x:c r="G9" s="70" t="str">
        <x:v>SI</x:v>
      </x:c>
      <x:c r="H9" s="70" t="str">
        <x:v>FIG-HOR-ORE</x:v>
      </x:c>
      <x:c r="I9" s="108"/>
      <x:c r="J9" s="108" t="str">
        <x:f>IF(F9="","",IF(G9="NO",F9,IF(I9="","",F9+I9)))</x:f>
      </x:c>
      <x:c r="K9" s="70" t="str">
        <x:v>R-MCK-CONG</x:v>
      </x:c>
      <x:c r="L9" s="70" t="str">
        <x:v>AL_ENSAMBLAR</x:v>
      </x:c>
      <x:c r="M9" s="70" t="str">
        <x:v>CONGELADO</x:v>
      </x:c>
      <x:c r="N9" s="70" t="str">
        <x:v>PRODUCIR_PARA_STOCK</x:v>
      </x:c>
      <x:c r="O9" s="70" t="str">
        <x:v>BORRADOR_TECNICO_V1</x:v>
      </x:c>
      <x:c r="P9" s="70" t="str">
        <x:v>NO_HASTA_VALIDAR</x:v>
      </x:c>
      <x:c r="Q9" s="70" t="str">
        <x:v>BOM fija por sabor. Validar prueba piloto, rendimiento, textura y empaque antes de aprobar.</x:v>
      </x:c>
      <x:c r="R9" s="114" t="n">
        <x:f>SUMIF(BOM!$A:$A,A9,BOM!$G:$G)</x:f>
        <x:v>0.27</x:v>
      </x:c>
      <x:c r="S9" s="71" t="str">
        <x:f>IF(F9="","SIN BOM APROBADO",IF(ABS(R9-F9/1000)&lt;0.0001,"OK","REVISAR"))</x:f>
        <x:v>OK</x:v>
      </x:c>
    </x:row>
    <x:row r="10">
      <x:c r="A10" s="69" t="str">
        <x:v>MCK-CSL-270</x:v>
      </x:c>
      <x:c r="B10" s="70" t="str">
        <x:v>Momo Cake Caramelo salado</x:v>
      </x:c>
      <x:c r="C10" s="70" t="str">
        <x:v>Momo Cake</x:v>
      </x:c>
      <x:c r="D10" s="70" t="str">
        <x:v>Caramelo salado</x:v>
      </x:c>
      <x:c r="E10" s="70" t="str">
        <x:v>Cremosa</x:v>
      </x:c>
      <x:c r="F10" s="102" t="n">
        <x:v>270</x:v>
      </x:c>
      <x:c r="G10" s="70" t="str">
        <x:v>SI</x:v>
      </x:c>
      <x:c r="H10" s="70" t="str">
        <x:v>FIG-HOR-CSL</x:v>
      </x:c>
      <x:c r="I10" s="108"/>
      <x:c r="J10" s="108" t="str">
        <x:f>IF(F10="","",IF(G10="NO",F10,IF(I10="","",F10+I10)))</x:f>
      </x:c>
      <x:c r="K10" s="70" t="str">
        <x:v>R-MCK-CONG</x:v>
      </x:c>
      <x:c r="L10" s="70" t="str">
        <x:v>AL_ENSAMBLAR</x:v>
      </x:c>
      <x:c r="M10" s="70" t="str">
        <x:v>CONGELADO</x:v>
      </x:c>
      <x:c r="N10" s="70" t="str">
        <x:v>PRODUCIR_PARA_STOCK</x:v>
      </x:c>
      <x:c r="O10" s="70" t="str">
        <x:v>BORRADOR_TECNICO_V1</x:v>
      </x:c>
      <x:c r="P10" s="70" t="str">
        <x:v>NO_HASTA_VALIDAR</x:v>
      </x:c>
      <x:c r="Q10" s="70" t="str">
        <x:v>BOM fija por sabor. Validar prueba piloto, rendimiento, textura y empaque antes de aprobar.</x:v>
      </x:c>
      <x:c r="R10" s="114" t="n">
        <x:f>SUMIF(BOM!$A:$A,A10,BOM!$G:$G)</x:f>
        <x:v>0.27</x:v>
      </x:c>
      <x:c r="S10" s="71" t="str">
        <x:f>IF(F10="","SIN BOM APROBADO",IF(ABS(R10-F10/1000)&lt;0.0001,"OK","REVISAR"))</x:f>
        <x:v>OK</x:v>
      </x:c>
    </x:row>
    <x:row r="11">
      <x:c r="A11" s="69" t="str">
        <x:v>MCK-NUT-270</x:v>
      </x:c>
      <x:c r="B11" s="70" t="str">
        <x:v>Momo Cake Nutella</x:v>
      </x:c>
      <x:c r="C11" s="70" t="str">
        <x:v>Momo Cake</x:v>
      </x:c>
      <x:c r="D11" s="70" t="str">
        <x:v>Nutella</x:v>
      </x:c>
      <x:c r="E11" s="70" t="str">
        <x:v>Cremosa</x:v>
      </x:c>
      <x:c r="F11" s="102" t="n">
        <x:v>270</x:v>
      </x:c>
      <x:c r="G11" s="70" t="str">
        <x:v>SI</x:v>
      </x:c>
      <x:c r="H11" s="70" t="str">
        <x:v>FIG-HOR-NUT</x:v>
      </x:c>
      <x:c r="I11" s="108"/>
      <x:c r="J11" s="108" t="str">
        <x:f>IF(F11="","",IF(G11="NO",F11,IF(I11="","",F11+I11)))</x:f>
      </x:c>
      <x:c r="K11" s="70" t="str">
        <x:v>R-MCK-CONG</x:v>
      </x:c>
      <x:c r="L11" s="70" t="str">
        <x:v>AL_ENSAMBLAR</x:v>
      </x:c>
      <x:c r="M11" s="70" t="str">
        <x:v>CONGELADO</x:v>
      </x:c>
      <x:c r="N11" s="70" t="str">
        <x:v>PRODUCIR_PARA_STOCK</x:v>
      </x:c>
      <x:c r="O11" s="70" t="str">
        <x:v>BORRADOR_TECNICO_V1</x:v>
      </x:c>
      <x:c r="P11" s="70" t="str">
        <x:v>NO_HASTA_VALIDAR</x:v>
      </x:c>
      <x:c r="Q11" s="70" t="str">
        <x:v>BOM fija por sabor. Validar prueba piloto, rendimiento, textura y empaque antes de aprobar.</x:v>
      </x:c>
      <x:c r="R11" s="114" t="n">
        <x:f>SUMIF(BOM!$A:$A,A11,BOM!$G:$G)</x:f>
        <x:v>0.27</x:v>
      </x:c>
      <x:c r="S11" s="71" t="str">
        <x:f>IF(F11="","SIN BOM APROBADO",IF(ABS(R11-F11/1000)&lt;0.0001,"OK","REVISAR"))</x:f>
        <x:v>OK</x:v>
      </x:c>
    </x:row>
    <x:row r="12">
      <x:c r="A12" s="69" t="str">
        <x:v>MCK-MIL-270</x:v>
      </x:c>
      <x:c r="B12" s="70" t="str">
        <x:v>Momo Cake Milo</x:v>
      </x:c>
      <x:c r="C12" s="70" t="str">
        <x:v>Momo Cake</x:v>
      </x:c>
      <x:c r="D12" s="70" t="str">
        <x:v>Milo</x:v>
      </x:c>
      <x:c r="E12" s="70" t="str">
        <x:v>Cremosa</x:v>
      </x:c>
      <x:c r="F12" s="102" t="n">
        <x:v>270</x:v>
      </x:c>
      <x:c r="G12" s="70" t="str">
        <x:v>SI</x:v>
      </x:c>
      <x:c r="H12" s="70" t="str">
        <x:v>FIG-HOR-MIL</x:v>
      </x:c>
      <x:c r="I12" s="108"/>
      <x:c r="J12" s="108" t="str">
        <x:f>IF(F12="","",IF(G12="NO",F12,IF(I12="","",F12+I12)))</x:f>
      </x:c>
      <x:c r="K12" s="70" t="str">
        <x:v>R-MCK-CONG</x:v>
      </x:c>
      <x:c r="L12" s="70" t="str">
        <x:v>AL_ENSAMBLAR</x:v>
      </x:c>
      <x:c r="M12" s="70" t="str">
        <x:v>CONGELADO</x:v>
      </x:c>
      <x:c r="N12" s="70" t="str">
        <x:v>PRODUCIR_PARA_STOCK</x:v>
      </x:c>
      <x:c r="O12" s="70" t="str">
        <x:v>BORRADOR_TECNICO_V1</x:v>
      </x:c>
      <x:c r="P12" s="70" t="str">
        <x:v>NO_HASTA_VALIDAR</x:v>
      </x:c>
      <x:c r="Q12" s="70" t="str">
        <x:v>BOM fija por sabor. Validar prueba piloto, rendimiento, textura y empaque antes de aprobar.</x:v>
      </x:c>
      <x:c r="R12" s="114" t="n">
        <x:f>SUMIF(BOM!$A:$A,A12,BOM!$G:$G)</x:f>
        <x:v>0.27</x:v>
      </x:c>
      <x:c r="S12" s="71" t="str">
        <x:f>IF(F12="","SIN BOM APROBADO",IF(ABS(R12-F12/1000)&lt;0.0001,"OK","REVISAR"))</x:f>
        <x:v>OK</x:v>
      </x:c>
    </x:row>
    <x:row r="13">
      <x:c r="A13" s="69" t="str">
        <x:v>CHK-MBI-270</x:v>
      </x:c>
      <x:c r="B13" s="70" t="str">
        <x:v>Cheesecake Mango biche</x:v>
      </x:c>
      <x:c r="C13" s="70" t="str">
        <x:v>Cheesecake</x:v>
      </x:c>
      <x:c r="D13" s="70" t="str">
        <x:v>Mango biche</x:v>
      </x:c>
      <x:c r="E13" s="70" t="str">
        <x:v>Frutal</x:v>
      </x:c>
      <x:c r="F13" s="102" t="n">
        <x:v>270</x:v>
      </x:c>
      <x:c r="G13" s="70" t="str">
        <x:v>SI</x:v>
      </x:c>
      <x:c r="H13" s="70" t="str">
        <x:v>FIG-HOR-MBI</x:v>
      </x:c>
      <x:c r="I13" s="108"/>
      <x:c r="J13" s="108" t="str">
        <x:f>IF(F13="","",IF(G13="NO",F13,IF(I13="","",F13+I13)))</x:f>
      </x:c>
      <x:c r="K13" s="70" t="str">
        <x:v>R-CHK-REF</x:v>
      </x:c>
      <x:c r="L13" s="70" t="str">
        <x:v>AL_ENSAMBLAR</x:v>
      </x:c>
      <x:c r="M13" s="70" t="str">
        <x:v>REFRIGERADO</x:v>
      </x:c>
      <x:c r="N13" s="70" t="str">
        <x:v>PRODUCIR_PARA_STOCK</x:v>
      </x:c>
      <x:c r="O13" s="70" t="str">
        <x:v>BORRADOR_TECNICO_V1</x:v>
      </x:c>
      <x:c r="P13" s="70" t="str">
        <x:v>NO_HASTA_VALIDAR</x:v>
      </x:c>
      <x:c r="Q13" s="70" t="str">
        <x:v>BOM fija por sabor. Validar prueba piloto, rendimiento, textura y empaque antes de aprobar.</x:v>
      </x:c>
      <x:c r="R13" s="114" t="n">
        <x:f>SUMIF(BOM!$A:$A,A13,BOM!$G:$G)</x:f>
        <x:v>0.27</x:v>
      </x:c>
      <x:c r="S13" s="71" t="str">
        <x:f>IF(F13="","SIN BOM APROBADO",IF(ABS(R13-F13/1000)&lt;0.0001,"OK","REVISAR"))</x:f>
        <x:v>OK</x:v>
      </x:c>
    </x:row>
    <x:row r="14">
      <x:c r="A14" s="69" t="str">
        <x:v>CHK-COC-270</x:v>
      </x:c>
      <x:c r="B14" s="70" t="str">
        <x:v>Cheesecake Coco</x:v>
      </x:c>
      <x:c r="C14" s="70" t="str">
        <x:v>Cheesecake</x:v>
      </x:c>
      <x:c r="D14" s="70" t="str">
        <x:v>Coco</x:v>
      </x:c>
      <x:c r="E14" s="70" t="str">
        <x:v>Frutal</x:v>
      </x:c>
      <x:c r="F14" s="102" t="n">
        <x:v>270</x:v>
      </x:c>
      <x:c r="G14" s="70" t="str">
        <x:v>SI</x:v>
      </x:c>
      <x:c r="H14" s="70" t="str">
        <x:v>FIG-HOR-COC</x:v>
      </x:c>
      <x:c r="I14" s="108"/>
      <x:c r="J14" s="108" t="str">
        <x:f>IF(F14="","",IF(G14="NO",F14,IF(I14="","",F14+I14)))</x:f>
      </x:c>
      <x:c r="K14" s="70" t="str">
        <x:v>R-CHK-REF</x:v>
      </x:c>
      <x:c r="L14" s="70" t="str">
        <x:v>AL_ENSAMBLAR</x:v>
      </x:c>
      <x:c r="M14" s="70" t="str">
        <x:v>REFRIGERADO</x:v>
      </x:c>
      <x:c r="N14" s="70" t="str">
        <x:v>PRODUCIR_PARA_STOCK</x:v>
      </x:c>
      <x:c r="O14" s="70" t="str">
        <x:v>BORRADOR_TECNICO_V1</x:v>
      </x:c>
      <x:c r="P14" s="70" t="str">
        <x:v>NO_HASTA_VALIDAR</x:v>
      </x:c>
      <x:c r="Q14" s="70" t="str">
        <x:v>BOM fija por sabor. Validar prueba piloto, rendimiento, textura y empaque antes de aprobar.</x:v>
      </x:c>
      <x:c r="R14" s="114" t="n">
        <x:f>SUMIF(BOM!$A:$A,A14,BOM!$G:$G)</x:f>
        <x:v>0.27</x:v>
      </x:c>
      <x:c r="S14" s="71" t="str">
        <x:f>IF(F14="","SIN BOM APROBADO",IF(ABS(R14-F14/1000)&lt;0.0001,"OK","REVISAR"))</x:f>
        <x:v>OK</x:v>
      </x:c>
    </x:row>
    <x:row r="15">
      <x:c r="A15" s="69" t="str">
        <x:v>CHK-MAR-270</x:v>
      </x:c>
      <x:c r="B15" s="70" t="str">
        <x:v>Cheesecake Maracuyá</x:v>
      </x:c>
      <x:c r="C15" s="70" t="str">
        <x:v>Cheesecake</x:v>
      </x:c>
      <x:c r="D15" s="70" t="str">
        <x:v>Maracuyá</x:v>
      </x:c>
      <x:c r="E15" s="70" t="str">
        <x:v>Frutal</x:v>
      </x:c>
      <x:c r="F15" s="102" t="n">
        <x:v>270</x:v>
      </x:c>
      <x:c r="G15" s="70" t="str">
        <x:v>SI</x:v>
      </x:c>
      <x:c r="H15" s="70" t="str">
        <x:v>FIG-HOR-MAR</x:v>
      </x:c>
      <x:c r="I15" s="108"/>
      <x:c r="J15" s="108" t="str">
        <x:f>IF(F15="","",IF(G15="NO",F15,IF(I15="","",F15+I15)))</x:f>
      </x:c>
      <x:c r="K15" s="70" t="str">
        <x:v>R-CHK-REF</x:v>
      </x:c>
      <x:c r="L15" s="70" t="str">
        <x:v>AL_ENSAMBLAR</x:v>
      </x:c>
      <x:c r="M15" s="70" t="str">
        <x:v>REFRIGERADO</x:v>
      </x:c>
      <x:c r="N15" s="70" t="str">
        <x:v>PRODUCIR_PARA_STOCK</x:v>
      </x:c>
      <x:c r="O15" s="70" t="str">
        <x:v>BORRADOR_TECNICO_V1</x:v>
      </x:c>
      <x:c r="P15" s="70" t="str">
        <x:v>NO_HASTA_VALIDAR</x:v>
      </x:c>
      <x:c r="Q15" s="70" t="str">
        <x:v>BOM fija por sabor. Validar prueba piloto, rendimiento, textura y empaque antes de aprobar.</x:v>
      </x:c>
      <x:c r="R15" s="114" t="n">
        <x:f>SUMIF(BOM!$A:$A,A15,BOM!$G:$G)</x:f>
        <x:v>0.27</x:v>
      </x:c>
      <x:c r="S15" s="71" t="str">
        <x:f>IF(F15="","SIN BOM APROBADO",IF(ABS(R15-F15/1000)&lt;0.0001,"OK","REVISAR"))</x:f>
        <x:v>OK</x:v>
      </x:c>
    </x:row>
    <x:row r="16">
      <x:c r="A16" s="69" t="str">
        <x:v>CHK-LIM-270</x:v>
      </x:c>
      <x:c r="B16" s="70" t="str">
        <x:v>Cheesecake Limón</x:v>
      </x:c>
      <x:c r="C16" s="70" t="str">
        <x:v>Cheesecake</x:v>
      </x:c>
      <x:c r="D16" s="70" t="str">
        <x:v>Limón</x:v>
      </x:c>
      <x:c r="E16" s="70" t="str">
        <x:v>Frutal</x:v>
      </x:c>
      <x:c r="F16" s="102" t="n">
        <x:v>270</x:v>
      </x:c>
      <x:c r="G16" s="70" t="str">
        <x:v>SI</x:v>
      </x:c>
      <x:c r="H16" s="70" t="str">
        <x:v>FIG-HOR-LIM</x:v>
      </x:c>
      <x:c r="I16" s="108"/>
      <x:c r="J16" s="108" t="str">
        <x:f>IF(F16="","",IF(G16="NO",F16,IF(I16="","",F16+I16)))</x:f>
      </x:c>
      <x:c r="K16" s="70" t="str">
        <x:v>R-CHK-REF</x:v>
      </x:c>
      <x:c r="L16" s="70" t="str">
        <x:v>AL_ENSAMBLAR</x:v>
      </x:c>
      <x:c r="M16" s="70" t="str">
        <x:v>REFRIGERADO</x:v>
      </x:c>
      <x:c r="N16" s="70" t="str">
        <x:v>PRODUCIR_PARA_STOCK</x:v>
      </x:c>
      <x:c r="O16" s="70" t="str">
        <x:v>BORRADOR_TECNICO_V1</x:v>
      </x:c>
      <x:c r="P16" s="70" t="str">
        <x:v>NO_HASTA_VALIDAR</x:v>
      </x:c>
      <x:c r="Q16" s="70" t="str">
        <x:v>BOM fija por sabor. Validar prueba piloto, rendimiento, textura y empaque antes de aprobar.</x:v>
      </x:c>
      <x:c r="R16" s="114" t="n">
        <x:f>SUMIF(BOM!$A:$A,A16,BOM!$G:$G)</x:f>
        <x:v>0.27</x:v>
      </x:c>
      <x:c r="S16" s="71" t="str">
        <x:f>IF(F16="","SIN BOM APROBADO",IF(ABS(R16-F16/1000)&lt;0.0001,"OK","REVISAR"))</x:f>
        <x:v>OK</x:v>
      </x:c>
    </x:row>
    <x:row r="17">
      <x:c r="A17" s="69" t="str">
        <x:v>CHK-BAN-270</x:v>
      </x:c>
      <x:c r="B17" s="70" t="str">
        <x:v>Cheesecake Banano</x:v>
      </x:c>
      <x:c r="C17" s="70" t="str">
        <x:v>Cheesecake</x:v>
      </x:c>
      <x:c r="D17" s="70" t="str">
        <x:v>Banano</x:v>
      </x:c>
      <x:c r="E17" s="70" t="str">
        <x:v>Frutal</x:v>
      </x:c>
      <x:c r="F17" s="102" t="n">
        <x:v>270</x:v>
      </x:c>
      <x:c r="G17" s="70" t="str">
        <x:v>SI</x:v>
      </x:c>
      <x:c r="H17" s="70" t="str">
        <x:v>FIG-HOR-BAN</x:v>
      </x:c>
      <x:c r="I17" s="108"/>
      <x:c r="J17" s="108" t="str">
        <x:f>IF(F17="","",IF(G17="NO",F17,IF(I17="","",F17+I17)))</x:f>
      </x:c>
      <x:c r="K17" s="70" t="str">
        <x:v>R-CHK-REF</x:v>
      </x:c>
      <x:c r="L17" s="70" t="str">
        <x:v>AL_ENSAMBLAR</x:v>
      </x:c>
      <x:c r="M17" s="70" t="str">
        <x:v>REFRIGERADO</x:v>
      </x:c>
      <x:c r="N17" s="70" t="str">
        <x:v>PRODUCIR_PARA_STOCK</x:v>
      </x:c>
      <x:c r="O17" s="70" t="str">
        <x:v>BORRADOR_TECNICO_V1</x:v>
      </x:c>
      <x:c r="P17" s="70" t="str">
        <x:v>NO_HASTA_VALIDAR</x:v>
      </x:c>
      <x:c r="Q17" s="70" t="str">
        <x:v>BOM fija por sabor. Validar prueba piloto, rendimiento, textura y empaque antes de aprobar.</x:v>
      </x:c>
      <x:c r="R17" s="114" t="n">
        <x:f>SUMIF(BOM!$A:$A,A17,BOM!$G:$G)</x:f>
        <x:v>0.27</x:v>
      </x:c>
      <x:c r="S17" s="71" t="str">
        <x:f>IF(F17="","SIN BOM APROBADO",IF(ABS(R17-F17/1000)&lt;0.0001,"OK","REVISAR"))</x:f>
        <x:v>OK</x:v>
      </x:c>
    </x:row>
    <x:row r="18">
      <x:c r="A18" s="69" t="str">
        <x:v>CHK-DUR-270</x:v>
      </x:c>
      <x:c r="B18" s="70" t="str">
        <x:v>Cheesecake Durazno</x:v>
      </x:c>
      <x:c r="C18" s="70" t="str">
        <x:v>Cheesecake</x:v>
      </x:c>
      <x:c r="D18" s="70" t="str">
        <x:v>Durazno</x:v>
      </x:c>
      <x:c r="E18" s="70" t="str">
        <x:v>Frutal</x:v>
      </x:c>
      <x:c r="F18" s="102" t="n">
        <x:v>270</x:v>
      </x:c>
      <x:c r="G18" s="70" t="str">
        <x:v>SI</x:v>
      </x:c>
      <x:c r="H18" s="70" t="str">
        <x:v>FIG-HOR-DUR</x:v>
      </x:c>
      <x:c r="I18" s="108"/>
      <x:c r="J18" s="108" t="str">
        <x:f>IF(F18="","",IF(G18="NO",F18,IF(I18="","",F18+I18)))</x:f>
      </x:c>
      <x:c r="K18" s="70" t="str">
        <x:v>R-CHK-REF</x:v>
      </x:c>
      <x:c r="L18" s="70" t="str">
        <x:v>AL_ENSAMBLAR</x:v>
      </x:c>
      <x:c r="M18" s="70" t="str">
        <x:v>REFRIGERADO</x:v>
      </x:c>
      <x:c r="N18" s="70" t="str">
        <x:v>PRODUCIR_PARA_STOCK</x:v>
      </x:c>
      <x:c r="O18" s="70" t="str">
        <x:v>BORRADOR_TECNICO_V1</x:v>
      </x:c>
      <x:c r="P18" s="70" t="str">
        <x:v>NO_HASTA_VALIDAR</x:v>
      </x:c>
      <x:c r="Q18" s="70" t="str">
        <x:v>BOM fija por sabor. Validar prueba piloto, rendimiento, textura y empaque antes de aprobar.</x:v>
      </x:c>
      <x:c r="R18" s="114" t="n">
        <x:f>SUMIF(BOM!$A:$A,A18,BOM!$G:$G)</x:f>
        <x:v>0.27</x:v>
      </x:c>
      <x:c r="S18" s="71" t="str">
        <x:f>IF(F18="","SIN BOM APROBADO",IF(ABS(R18-F18/1000)&lt;0.0001,"OK","REVISAR"))</x:f>
        <x:v>OK</x:v>
      </x:c>
    </x:row>
    <x:row r="19">
      <x:c r="A19" s="69" t="str">
        <x:v>CHK-MNM-270</x:v>
      </x:c>
      <x:c r="B19" s="70" t="str">
        <x:v>Cheesecake M&amp;M</x:v>
      </x:c>
      <x:c r="C19" s="70" t="str">
        <x:v>Cheesecake</x:v>
      </x:c>
      <x:c r="D19" s="70" t="str">
        <x:v>M&amp;M</x:v>
      </x:c>
      <x:c r="E19" s="70" t="str">
        <x:v>Cremosa</x:v>
      </x:c>
      <x:c r="F19" s="102" t="n">
        <x:v>270</x:v>
      </x:c>
      <x:c r="G19" s="70" t="str">
        <x:v>SI</x:v>
      </x:c>
      <x:c r="H19" s="70" t="str">
        <x:v>FIG-HOR-MNM</x:v>
      </x:c>
      <x:c r="I19" s="108"/>
      <x:c r="J19" s="108" t="str">
        <x:f>IF(F19="","",IF(G19="NO",F19,IF(I19="","",F19+I19)))</x:f>
      </x:c>
      <x:c r="K19" s="70" t="str">
        <x:v>R-CHK-REF</x:v>
      </x:c>
      <x:c r="L19" s="70" t="str">
        <x:v>AL_ENSAMBLAR</x:v>
      </x:c>
      <x:c r="M19" s="70" t="str">
        <x:v>REFRIGERADO</x:v>
      </x:c>
      <x:c r="N19" s="70" t="str">
        <x:v>PRODUCIR_PARA_STOCK</x:v>
      </x:c>
      <x:c r="O19" s="70" t="str">
        <x:v>BORRADOR_TECNICO_V1</x:v>
      </x:c>
      <x:c r="P19" s="70" t="str">
        <x:v>NO_HASTA_VALIDAR</x:v>
      </x:c>
      <x:c r="Q19" s="70" t="str">
        <x:v>BOM fija por sabor. Validar prueba piloto, rendimiento, textura y empaque antes de aprobar.</x:v>
      </x:c>
      <x:c r="R19" s="114" t="n">
        <x:f>SUMIF(BOM!$A:$A,A19,BOM!$G:$G)</x:f>
        <x:v>0.27</x:v>
      </x:c>
      <x:c r="S19" s="71" t="str">
        <x:f>IF(F19="","SIN BOM APROBADO",IF(ABS(R19-F19/1000)&lt;0.0001,"OK","REVISAR"))</x:f>
        <x:v>OK</x:v>
      </x:c>
    </x:row>
    <x:row r="20">
      <x:c r="A20" s="69" t="str">
        <x:v>CHK-ORE-270</x:v>
      </x:c>
      <x:c r="B20" s="70" t="str">
        <x:v>Cheesecake Oreo</x:v>
      </x:c>
      <x:c r="C20" s="70" t="str">
        <x:v>Cheesecake</x:v>
      </x:c>
      <x:c r="D20" s="70" t="str">
        <x:v>Oreo</x:v>
      </x:c>
      <x:c r="E20" s="70" t="str">
        <x:v>Cremosa</x:v>
      </x:c>
      <x:c r="F20" s="102" t="n">
        <x:v>270</x:v>
      </x:c>
      <x:c r="G20" s="70" t="str">
        <x:v>SI</x:v>
      </x:c>
      <x:c r="H20" s="70" t="str">
        <x:v>FIG-HOR-ORE</x:v>
      </x:c>
      <x:c r="I20" s="108"/>
      <x:c r="J20" s="108" t="str">
        <x:f>IF(F20="","",IF(G20="NO",F20,IF(I20="","",F20+I20)))</x:f>
      </x:c>
      <x:c r="K20" s="70" t="str">
        <x:v>R-CHK-REF</x:v>
      </x:c>
      <x:c r="L20" s="70" t="str">
        <x:v>AL_ENSAMBLAR</x:v>
      </x:c>
      <x:c r="M20" s="70" t="str">
        <x:v>REFRIGERADO</x:v>
      </x:c>
      <x:c r="N20" s="70" t="str">
        <x:v>PRODUCIR_PARA_STOCK</x:v>
      </x:c>
      <x:c r="O20" s="70" t="str">
        <x:v>BORRADOR_TECNICO_V1</x:v>
      </x:c>
      <x:c r="P20" s="70" t="str">
        <x:v>NO_HASTA_VALIDAR</x:v>
      </x:c>
      <x:c r="Q20" s="70" t="str">
        <x:v>BOM fija por sabor. Validar prueba piloto, rendimiento, textura y empaque antes de aprobar.</x:v>
      </x:c>
      <x:c r="R20" s="114" t="n">
        <x:f>SUMIF(BOM!$A:$A,A20,BOM!$G:$G)</x:f>
        <x:v>0.27</x:v>
      </x:c>
      <x:c r="S20" s="71" t="str">
        <x:f>IF(F20="","SIN BOM APROBADO",IF(ABS(R20-F20/1000)&lt;0.0001,"OK","REVISAR"))</x:f>
        <x:v>OK</x:v>
      </x:c>
    </x:row>
    <x:row r="21">
      <x:c r="A21" s="69" t="str">
        <x:v>CHK-CSL-270</x:v>
      </x:c>
      <x:c r="B21" s="70" t="str">
        <x:v>Cheesecake Caramelo salado</x:v>
      </x:c>
      <x:c r="C21" s="70" t="str">
        <x:v>Cheesecake</x:v>
      </x:c>
      <x:c r="D21" s="70" t="str">
        <x:v>Caramelo salado</x:v>
      </x:c>
      <x:c r="E21" s="70" t="str">
        <x:v>Cremosa</x:v>
      </x:c>
      <x:c r="F21" s="102" t="n">
        <x:v>270</x:v>
      </x:c>
      <x:c r="G21" s="70" t="str">
        <x:v>SI</x:v>
      </x:c>
      <x:c r="H21" s="70" t="str">
        <x:v>FIG-HOR-CSL</x:v>
      </x:c>
      <x:c r="I21" s="108"/>
      <x:c r="J21" s="108" t="str">
        <x:f>IF(F21="","",IF(G21="NO",F21,IF(I21="","",F21+I21)))</x:f>
      </x:c>
      <x:c r="K21" s="70" t="str">
        <x:v>R-CHK-REF</x:v>
      </x:c>
      <x:c r="L21" s="70" t="str">
        <x:v>AL_ENSAMBLAR</x:v>
      </x:c>
      <x:c r="M21" s="70" t="str">
        <x:v>REFRIGERADO</x:v>
      </x:c>
      <x:c r="N21" s="70" t="str">
        <x:v>PRODUCIR_PARA_STOCK</x:v>
      </x:c>
      <x:c r="O21" s="70" t="str">
        <x:v>BORRADOR_TECNICO_V1</x:v>
      </x:c>
      <x:c r="P21" s="70" t="str">
        <x:v>NO_HASTA_VALIDAR</x:v>
      </x:c>
      <x:c r="Q21" s="70" t="str">
        <x:v>BOM fija por sabor. Validar prueba piloto, rendimiento, textura y empaque antes de aprobar.</x:v>
      </x:c>
      <x:c r="R21" s="114" t="n">
        <x:f>SUMIF(BOM!$A:$A,A21,BOM!$G:$G)</x:f>
        <x:v>0.27</x:v>
      </x:c>
      <x:c r="S21" s="71" t="str">
        <x:f>IF(F21="","SIN BOM APROBADO",IF(ABS(R21-F21/1000)&lt;0.0001,"OK","REVISAR"))</x:f>
        <x:v>OK</x:v>
      </x:c>
    </x:row>
    <x:row r="22">
      <x:c r="A22" s="69" t="str">
        <x:v>CHK-NUT-270</x:v>
      </x:c>
      <x:c r="B22" s="70" t="str">
        <x:v>Cheesecake Nutella</x:v>
      </x:c>
      <x:c r="C22" s="70" t="str">
        <x:v>Cheesecake</x:v>
      </x:c>
      <x:c r="D22" s="70" t="str">
        <x:v>Nutella</x:v>
      </x:c>
      <x:c r="E22" s="70" t="str">
        <x:v>Cremosa</x:v>
      </x:c>
      <x:c r="F22" s="102" t="n">
        <x:v>270</x:v>
      </x:c>
      <x:c r="G22" s="70" t="str">
        <x:v>SI</x:v>
      </x:c>
      <x:c r="H22" s="70" t="str">
        <x:v>FIG-HOR-NUT</x:v>
      </x:c>
      <x:c r="I22" s="108"/>
      <x:c r="J22" s="108" t="str">
        <x:f>IF(F22="","",IF(G22="NO",F22,IF(I22="","",F22+I22)))</x:f>
      </x:c>
      <x:c r="K22" s="70" t="str">
        <x:v>R-CHK-REF</x:v>
      </x:c>
      <x:c r="L22" s="70" t="str">
        <x:v>AL_ENSAMBLAR</x:v>
      </x:c>
      <x:c r="M22" s="70" t="str">
        <x:v>REFRIGERADO</x:v>
      </x:c>
      <x:c r="N22" s="70" t="str">
        <x:v>PRODUCIR_PARA_STOCK</x:v>
      </x:c>
      <x:c r="O22" s="70" t="str">
        <x:v>BORRADOR_TECNICO_V1</x:v>
      </x:c>
      <x:c r="P22" s="70" t="str">
        <x:v>NO_HASTA_VALIDAR</x:v>
      </x:c>
      <x:c r="Q22" s="70" t="str">
        <x:v>BOM fija por sabor. Validar prueba piloto, rendimiento, textura y empaque antes de aprobar.</x:v>
      </x:c>
      <x:c r="R22" s="114" t="n">
        <x:f>SUMIF(BOM!$A:$A,A22,BOM!$G:$G)</x:f>
        <x:v>0.27</x:v>
      </x:c>
      <x:c r="S22" s="71" t="str">
        <x:f>IF(F22="","SIN BOM APROBADO",IF(ABS(R22-F22/1000)&lt;0.0001,"OK","REVISAR"))</x:f>
        <x:v>OK</x:v>
      </x:c>
    </x:row>
    <x:row r="23">
      <x:c r="A23" s="69" t="str">
        <x:v>CHK-MIL-270</x:v>
      </x:c>
      <x:c r="B23" s="70" t="str">
        <x:v>Cheesecake Milo</x:v>
      </x:c>
      <x:c r="C23" s="70" t="str">
        <x:v>Cheesecake</x:v>
      </x:c>
      <x:c r="D23" s="70" t="str">
        <x:v>Milo</x:v>
      </x:c>
      <x:c r="E23" s="70" t="str">
        <x:v>Cremosa</x:v>
      </x:c>
      <x:c r="F23" s="102" t="n">
        <x:v>270</x:v>
      </x:c>
      <x:c r="G23" s="70" t="str">
        <x:v>SI</x:v>
      </x:c>
      <x:c r="H23" s="70" t="str">
        <x:v>FIG-HOR-MIL</x:v>
      </x:c>
      <x:c r="I23" s="108"/>
      <x:c r="J23" s="108" t="str">
        <x:f>IF(F23="","",IF(G23="NO",F23,IF(I23="","",F23+I23)))</x:f>
      </x:c>
      <x:c r="K23" s="70" t="str">
        <x:v>R-CHK-REF</x:v>
      </x:c>
      <x:c r="L23" s="70" t="str">
        <x:v>AL_ENSAMBLAR</x:v>
      </x:c>
      <x:c r="M23" s="70" t="str">
        <x:v>REFRIGERADO</x:v>
      </x:c>
      <x:c r="N23" s="70" t="str">
        <x:v>PRODUCIR_PARA_STOCK</x:v>
      </x:c>
      <x:c r="O23" s="70" t="str">
        <x:v>BORRADOR_TECNICO_V1</x:v>
      </x:c>
      <x:c r="P23" s="70" t="str">
        <x:v>NO_HASTA_VALIDAR</x:v>
      </x:c>
      <x:c r="Q23" s="70" t="str">
        <x:v>BOM fija por sabor. Validar prueba piloto, rendimiento, textura y empaque antes de aprobar.</x:v>
      </x:c>
      <x:c r="R23" s="114" t="n">
        <x:f>SUMIF(BOM!$A:$A,A23,BOM!$G:$G)</x:f>
        <x:v>0.27</x:v>
      </x:c>
      <x:c r="S23" s="71" t="str">
        <x:f>IF(F23="","SIN BOM APROBADO",IF(ABS(R23-F23/1000)&lt;0.0001,"OK","REVISAR"))</x:f>
        <x:v>OK</x:v>
      </x:c>
    </x:row>
    <x:row r="24">
      <x:c r="A24" s="69" t="str">
        <x:v>PAV-MBI-270</x:v>
      </x:c>
      <x:c r="B24" s="70" t="str">
        <x:v>Pavé MOMOS Mango biche</x:v>
      </x:c>
      <x:c r="C24" s="70" t="str">
        <x:v>Pavé MOMOS</x:v>
      </x:c>
      <x:c r="D24" s="70" t="str">
        <x:v>Mango biche</x:v>
      </x:c>
      <x:c r="E24" s="70" t="str">
        <x:v>Frutal</x:v>
      </x:c>
      <x:c r="F24" s="102" t="n">
        <x:v>270</x:v>
      </x:c>
      <x:c r="G24" s="70" t="str">
        <x:v>SI</x:v>
      </x:c>
      <x:c r="H24" s="70" t="str">
        <x:v>FIG-HOR-MBI</x:v>
      </x:c>
      <x:c r="I24" s="108"/>
      <x:c r="J24" s="108" t="str">
        <x:f>IF(F24="","",IF(G24="NO",F24,IF(I24="","",F24+I24)))</x:f>
      </x:c>
      <x:c r="K24" s="70" t="str">
        <x:v>R-PAV-REF</x:v>
      </x:c>
      <x:c r="L24" s="70" t="str">
        <x:v>AL_ENSAMBLAR</x:v>
      </x:c>
      <x:c r="M24" s="70" t="str">
        <x:v>REFRIGERADO</x:v>
      </x:c>
      <x:c r="N24" s="70" t="str">
        <x:v>PRODUCIR_PARA_STOCK</x:v>
      </x:c>
      <x:c r="O24" s="70" t="str">
        <x:v>BORRADOR_TECNICO_V1</x:v>
      </x:c>
      <x:c r="P24" s="70" t="str">
        <x:v>NO_HASTA_VALIDAR</x:v>
      </x:c>
      <x:c r="Q24" s="70" t="str">
        <x:v>BOM fija por sabor. Validar prueba piloto, rendimiento, textura y empaque antes de aprobar.</x:v>
      </x:c>
      <x:c r="R24" s="114" t="n">
        <x:f>SUMIF(BOM!$A:$A,A24,BOM!$G:$G)</x:f>
        <x:v>0.27</x:v>
      </x:c>
      <x:c r="S24" s="71" t="str">
        <x:f>IF(F24="","SIN BOM APROBADO",IF(ABS(R24-F24/1000)&lt;0.0001,"OK","REVISAR"))</x:f>
        <x:v>OK</x:v>
      </x:c>
    </x:row>
    <x:row r="25">
      <x:c r="A25" s="69" t="str">
        <x:v>PAV-COC-270</x:v>
      </x:c>
      <x:c r="B25" s="70" t="str">
        <x:v>Pavé MOMOS Coco</x:v>
      </x:c>
      <x:c r="C25" s="70" t="str">
        <x:v>Pavé MOMOS</x:v>
      </x:c>
      <x:c r="D25" s="70" t="str">
        <x:v>Coco</x:v>
      </x:c>
      <x:c r="E25" s="70" t="str">
        <x:v>Frutal</x:v>
      </x:c>
      <x:c r="F25" s="102" t="n">
        <x:v>270</x:v>
      </x:c>
      <x:c r="G25" s="70" t="str">
        <x:v>SI</x:v>
      </x:c>
      <x:c r="H25" s="70" t="str">
        <x:v>FIG-HOR-COC</x:v>
      </x:c>
      <x:c r="I25" s="108"/>
      <x:c r="J25" s="108" t="str">
        <x:f>IF(F25="","",IF(G25="NO",F25,IF(I25="","",F25+I25)))</x:f>
      </x:c>
      <x:c r="K25" s="70" t="str">
        <x:v>R-PAV-REF</x:v>
      </x:c>
      <x:c r="L25" s="70" t="str">
        <x:v>AL_ENSAMBLAR</x:v>
      </x:c>
      <x:c r="M25" s="70" t="str">
        <x:v>REFRIGERADO</x:v>
      </x:c>
      <x:c r="N25" s="70" t="str">
        <x:v>PRODUCIR_PARA_STOCK</x:v>
      </x:c>
      <x:c r="O25" s="70" t="str">
        <x:v>BORRADOR_TECNICO_V1</x:v>
      </x:c>
      <x:c r="P25" s="70" t="str">
        <x:v>NO_HASTA_VALIDAR</x:v>
      </x:c>
      <x:c r="Q25" s="70" t="str">
        <x:v>BOM fija por sabor. Validar prueba piloto, rendimiento, textura y empaque antes de aprobar.</x:v>
      </x:c>
      <x:c r="R25" s="114" t="n">
        <x:f>SUMIF(BOM!$A:$A,A25,BOM!$G:$G)</x:f>
        <x:v>0.27</x:v>
      </x:c>
      <x:c r="S25" s="71" t="str">
        <x:f>IF(F25="","SIN BOM APROBADO",IF(ABS(R25-F25/1000)&lt;0.0001,"OK","REVISAR"))</x:f>
        <x:v>OK</x:v>
      </x:c>
    </x:row>
    <x:row r="26">
      <x:c r="A26" s="69" t="str">
        <x:v>PAV-MAR-270</x:v>
      </x:c>
      <x:c r="B26" s="70" t="str">
        <x:v>Pavé MOMOS Maracuyá</x:v>
      </x:c>
      <x:c r="C26" s="70" t="str">
        <x:v>Pavé MOMOS</x:v>
      </x:c>
      <x:c r="D26" s="70" t="str">
        <x:v>Maracuyá</x:v>
      </x:c>
      <x:c r="E26" s="70" t="str">
        <x:v>Frutal</x:v>
      </x:c>
      <x:c r="F26" s="102" t="n">
        <x:v>270</x:v>
      </x:c>
      <x:c r="G26" s="70" t="str">
        <x:v>SI</x:v>
      </x:c>
      <x:c r="H26" s="70" t="str">
        <x:v>FIG-HOR-MAR</x:v>
      </x:c>
      <x:c r="I26" s="108"/>
      <x:c r="J26" s="108" t="str">
        <x:f>IF(F26="","",IF(G26="NO",F26,IF(I26="","",F26+I26)))</x:f>
      </x:c>
      <x:c r="K26" s="70" t="str">
        <x:v>R-PAV-REF</x:v>
      </x:c>
      <x:c r="L26" s="70" t="str">
        <x:v>AL_ENSAMBLAR</x:v>
      </x:c>
      <x:c r="M26" s="70" t="str">
        <x:v>REFRIGERADO</x:v>
      </x:c>
      <x:c r="N26" s="70" t="str">
        <x:v>PRODUCIR_PARA_STOCK</x:v>
      </x:c>
      <x:c r="O26" s="70" t="str">
        <x:v>BORRADOR_TECNICO_V1</x:v>
      </x:c>
      <x:c r="P26" s="70" t="str">
        <x:v>NO_HASTA_VALIDAR</x:v>
      </x:c>
      <x:c r="Q26" s="70" t="str">
        <x:v>BOM fija por sabor. Validar prueba piloto, rendimiento, textura y empaque antes de aprobar.</x:v>
      </x:c>
      <x:c r="R26" s="114" t="n">
        <x:f>SUMIF(BOM!$A:$A,A26,BOM!$G:$G)</x:f>
        <x:v>0.27</x:v>
      </x:c>
      <x:c r="S26" s="71" t="str">
        <x:f>IF(F26="","SIN BOM APROBADO",IF(ABS(R26-F26/1000)&lt;0.0001,"OK","REVISAR"))</x:f>
        <x:v>OK</x:v>
      </x:c>
    </x:row>
    <x:row r="27">
      <x:c r="A27" s="69" t="str">
        <x:v>PAV-LIM-270</x:v>
      </x:c>
      <x:c r="B27" s="70" t="str">
        <x:v>Pavé MOMOS Limón</x:v>
      </x:c>
      <x:c r="C27" s="70" t="str">
        <x:v>Pavé MOMOS</x:v>
      </x:c>
      <x:c r="D27" s="70" t="str">
        <x:v>Limón</x:v>
      </x:c>
      <x:c r="E27" s="70" t="str">
        <x:v>Frutal</x:v>
      </x:c>
      <x:c r="F27" s="102" t="n">
        <x:v>270</x:v>
      </x:c>
      <x:c r="G27" s="70" t="str">
        <x:v>SI</x:v>
      </x:c>
      <x:c r="H27" s="70" t="str">
        <x:v>FIG-HOR-LIM</x:v>
      </x:c>
      <x:c r="I27" s="108"/>
      <x:c r="J27" s="108" t="str">
        <x:f>IF(F27="","",IF(G27="NO",F27,IF(I27="","",F27+I27)))</x:f>
      </x:c>
      <x:c r="K27" s="70" t="str">
        <x:v>R-PAV-REF</x:v>
      </x:c>
      <x:c r="L27" s="70" t="str">
        <x:v>AL_ENSAMBLAR</x:v>
      </x:c>
      <x:c r="M27" s="70" t="str">
        <x:v>REFRIGERADO</x:v>
      </x:c>
      <x:c r="N27" s="70" t="str">
        <x:v>PRODUCIR_PARA_STOCK</x:v>
      </x:c>
      <x:c r="O27" s="70" t="str">
        <x:v>BORRADOR_TECNICO_V1</x:v>
      </x:c>
      <x:c r="P27" s="70" t="str">
        <x:v>NO_HASTA_VALIDAR</x:v>
      </x:c>
      <x:c r="Q27" s="70" t="str">
        <x:v>BOM fija por sabor. Validar prueba piloto, rendimiento, textura y empaque antes de aprobar.</x:v>
      </x:c>
      <x:c r="R27" s="114" t="n">
        <x:f>SUMIF(BOM!$A:$A,A27,BOM!$G:$G)</x:f>
        <x:v>0.27</x:v>
      </x:c>
      <x:c r="S27" s="71" t="str">
        <x:f>IF(F27="","SIN BOM APROBADO",IF(ABS(R27-F27/1000)&lt;0.0001,"OK","REVISAR"))</x:f>
        <x:v>OK</x:v>
      </x:c>
    </x:row>
    <x:row r="28">
      <x:c r="A28" s="69" t="str">
        <x:v>PAV-BAN-270</x:v>
      </x:c>
      <x:c r="B28" s="70" t="str">
        <x:v>Pavé MOMOS Banano</x:v>
      </x:c>
      <x:c r="C28" s="70" t="str">
        <x:v>Pavé MOMOS</x:v>
      </x:c>
      <x:c r="D28" s="70" t="str">
        <x:v>Banano</x:v>
      </x:c>
      <x:c r="E28" s="70" t="str">
        <x:v>Frutal</x:v>
      </x:c>
      <x:c r="F28" s="102" t="n">
        <x:v>270</x:v>
      </x:c>
      <x:c r="G28" s="70" t="str">
        <x:v>SI</x:v>
      </x:c>
      <x:c r="H28" s="70" t="str">
        <x:v>FIG-HOR-BAN</x:v>
      </x:c>
      <x:c r="I28" s="108"/>
      <x:c r="J28" s="108" t="str">
        <x:f>IF(F28="","",IF(G28="NO",F28,IF(I28="","",F28+I28)))</x:f>
      </x:c>
      <x:c r="K28" s="70" t="str">
        <x:v>R-PAV-REF</x:v>
      </x:c>
      <x:c r="L28" s="70" t="str">
        <x:v>AL_ENSAMBLAR</x:v>
      </x:c>
      <x:c r="M28" s="70" t="str">
        <x:v>REFRIGERADO</x:v>
      </x:c>
      <x:c r="N28" s="70" t="str">
        <x:v>PRODUCIR_PARA_STOCK</x:v>
      </x:c>
      <x:c r="O28" s="70" t="str">
        <x:v>BORRADOR_TECNICO_V1</x:v>
      </x:c>
      <x:c r="P28" s="70" t="str">
        <x:v>NO_HASTA_VALIDAR</x:v>
      </x:c>
      <x:c r="Q28" s="70" t="str">
        <x:v>BOM fija por sabor. Validar prueba piloto, rendimiento, textura y empaque antes de aprobar.</x:v>
      </x:c>
      <x:c r="R28" s="114" t="n">
        <x:f>SUMIF(BOM!$A:$A,A28,BOM!$G:$G)</x:f>
        <x:v>0.27</x:v>
      </x:c>
      <x:c r="S28" s="71" t="str">
        <x:f>IF(F28="","SIN BOM APROBADO",IF(ABS(R28-F28/1000)&lt;0.0001,"OK","REVISAR"))</x:f>
        <x:v>OK</x:v>
      </x:c>
    </x:row>
    <x:row r="29">
      <x:c r="A29" s="69" t="str">
        <x:v>PAV-DUR-270</x:v>
      </x:c>
      <x:c r="B29" s="70" t="str">
        <x:v>Pavé MOMOS Durazno</x:v>
      </x:c>
      <x:c r="C29" s="70" t="str">
        <x:v>Pavé MOMOS</x:v>
      </x:c>
      <x:c r="D29" s="70" t="str">
        <x:v>Durazno</x:v>
      </x:c>
      <x:c r="E29" s="70" t="str">
        <x:v>Frutal</x:v>
      </x:c>
      <x:c r="F29" s="102" t="n">
        <x:v>270</x:v>
      </x:c>
      <x:c r="G29" s="70" t="str">
        <x:v>SI</x:v>
      </x:c>
      <x:c r="H29" s="70" t="str">
        <x:v>FIG-HOR-DUR</x:v>
      </x:c>
      <x:c r="I29" s="108"/>
      <x:c r="J29" s="108" t="str">
        <x:f>IF(F29="","",IF(G29="NO",F29,IF(I29="","",F29+I29)))</x:f>
      </x:c>
      <x:c r="K29" s="70" t="str">
        <x:v>R-PAV-REF</x:v>
      </x:c>
      <x:c r="L29" s="70" t="str">
        <x:v>AL_ENSAMBLAR</x:v>
      </x:c>
      <x:c r="M29" s="70" t="str">
        <x:v>REFRIGERADO</x:v>
      </x:c>
      <x:c r="N29" s="70" t="str">
        <x:v>PRODUCIR_PARA_STOCK</x:v>
      </x:c>
      <x:c r="O29" s="70" t="str">
        <x:v>BORRADOR_TECNICO_V1</x:v>
      </x:c>
      <x:c r="P29" s="70" t="str">
        <x:v>NO_HASTA_VALIDAR</x:v>
      </x:c>
      <x:c r="Q29" s="70" t="str">
        <x:v>BOM fija por sabor. Validar prueba piloto, rendimiento, textura y empaque antes de aprobar.</x:v>
      </x:c>
      <x:c r="R29" s="114" t="n">
        <x:f>SUMIF(BOM!$A:$A,A29,BOM!$G:$G)</x:f>
        <x:v>0.27</x:v>
      </x:c>
      <x:c r="S29" s="71" t="str">
        <x:f>IF(F29="","SIN BOM APROBADO",IF(ABS(R29-F29/1000)&lt;0.0001,"OK","REVISAR"))</x:f>
        <x:v>OK</x:v>
      </x:c>
    </x:row>
    <x:row r="30">
      <x:c r="A30" s="69" t="str">
        <x:v>PAV-MNM-270</x:v>
      </x:c>
      <x:c r="B30" s="70" t="str">
        <x:v>Pavé MOMOS M&amp;M</x:v>
      </x:c>
      <x:c r="C30" s="70" t="str">
        <x:v>Pavé MOMOS</x:v>
      </x:c>
      <x:c r="D30" s="70" t="str">
        <x:v>M&amp;M</x:v>
      </x:c>
      <x:c r="E30" s="70" t="str">
        <x:v>Cremosa</x:v>
      </x:c>
      <x:c r="F30" s="102" t="n">
        <x:v>270</x:v>
      </x:c>
      <x:c r="G30" s="70" t="str">
        <x:v>SI</x:v>
      </x:c>
      <x:c r="H30" s="70" t="str">
        <x:v>FIG-HOR-MNM</x:v>
      </x:c>
      <x:c r="I30" s="108"/>
      <x:c r="J30" s="108" t="str">
        <x:f>IF(F30="","",IF(G30="NO",F30,IF(I30="","",F30+I30)))</x:f>
      </x:c>
      <x:c r="K30" s="70" t="str">
        <x:v>R-PAV-REF</x:v>
      </x:c>
      <x:c r="L30" s="70" t="str">
        <x:v>AL_ENSAMBLAR</x:v>
      </x:c>
      <x:c r="M30" s="70" t="str">
        <x:v>REFRIGERADO</x:v>
      </x:c>
      <x:c r="N30" s="70" t="str">
        <x:v>PRODUCIR_PARA_STOCK</x:v>
      </x:c>
      <x:c r="O30" s="70" t="str">
        <x:v>BORRADOR_TECNICO_V1</x:v>
      </x:c>
      <x:c r="P30" s="70" t="str">
        <x:v>NO_HASTA_VALIDAR</x:v>
      </x:c>
      <x:c r="Q30" s="70" t="str">
        <x:v>BOM fija por sabor. Validar prueba piloto, rendimiento, textura y empaque antes de aprobar.</x:v>
      </x:c>
      <x:c r="R30" s="114" t="n">
        <x:f>SUMIF(BOM!$A:$A,A30,BOM!$G:$G)</x:f>
        <x:v>0.27</x:v>
      </x:c>
      <x:c r="S30" s="71" t="str">
        <x:f>IF(F30="","SIN BOM APROBADO",IF(ABS(R30-F30/1000)&lt;0.0001,"OK","REVISAR"))</x:f>
        <x:v>OK</x:v>
      </x:c>
    </x:row>
    <x:row r="31">
      <x:c r="A31" s="69" t="str">
        <x:v>PAV-ORE-270</x:v>
      </x:c>
      <x:c r="B31" s="70" t="str">
        <x:v>Pavé MOMOS Oreo</x:v>
      </x:c>
      <x:c r="C31" s="70" t="str">
        <x:v>Pavé MOMOS</x:v>
      </x:c>
      <x:c r="D31" s="70" t="str">
        <x:v>Oreo</x:v>
      </x:c>
      <x:c r="E31" s="70" t="str">
        <x:v>Cremosa</x:v>
      </x:c>
      <x:c r="F31" s="102" t="n">
        <x:v>270</x:v>
      </x:c>
      <x:c r="G31" s="70" t="str">
        <x:v>SI</x:v>
      </x:c>
      <x:c r="H31" s="70" t="str">
        <x:v>FIG-HOR-ORE</x:v>
      </x:c>
      <x:c r="I31" s="108"/>
      <x:c r="J31" s="108" t="str">
        <x:f>IF(F31="","",IF(G31="NO",F31,IF(I31="","",F31+I31)))</x:f>
      </x:c>
      <x:c r="K31" s="70" t="str">
        <x:v>R-PAV-REF</x:v>
      </x:c>
      <x:c r="L31" s="70" t="str">
        <x:v>AL_ENSAMBLAR</x:v>
      </x:c>
      <x:c r="M31" s="70" t="str">
        <x:v>REFRIGERADO</x:v>
      </x:c>
      <x:c r="N31" s="70" t="str">
        <x:v>PRODUCIR_PARA_STOCK</x:v>
      </x:c>
      <x:c r="O31" s="70" t="str">
        <x:v>BORRADOR_TECNICO_V1</x:v>
      </x:c>
      <x:c r="P31" s="70" t="str">
        <x:v>NO_HASTA_VALIDAR</x:v>
      </x:c>
      <x:c r="Q31" s="70" t="str">
        <x:v>BOM fija por sabor. Validar prueba piloto, rendimiento, textura y empaque antes de aprobar.</x:v>
      </x:c>
      <x:c r="R31" s="114" t="n">
        <x:f>SUMIF(BOM!$A:$A,A31,BOM!$G:$G)</x:f>
        <x:v>0.27</x:v>
      </x:c>
      <x:c r="S31" s="71" t="str">
        <x:f>IF(F31="","SIN BOM APROBADO",IF(ABS(R31-F31/1000)&lt;0.0001,"OK","REVISAR"))</x:f>
        <x:v>OK</x:v>
      </x:c>
    </x:row>
    <x:row r="32">
      <x:c r="A32" s="69" t="str">
        <x:v>PAV-CSL-270</x:v>
      </x:c>
      <x:c r="B32" s="70" t="str">
        <x:v>Pavé MOMOS Caramelo salado</x:v>
      </x:c>
      <x:c r="C32" s="70" t="str">
        <x:v>Pavé MOMOS</x:v>
      </x:c>
      <x:c r="D32" s="70" t="str">
        <x:v>Caramelo salado</x:v>
      </x:c>
      <x:c r="E32" s="70" t="str">
        <x:v>Cremosa</x:v>
      </x:c>
      <x:c r="F32" s="102" t="n">
        <x:v>270</x:v>
      </x:c>
      <x:c r="G32" s="70" t="str">
        <x:v>SI</x:v>
      </x:c>
      <x:c r="H32" s="70" t="str">
        <x:v>FIG-HOR-CSL</x:v>
      </x:c>
      <x:c r="I32" s="108"/>
      <x:c r="J32" s="108" t="str">
        <x:f>IF(F32="","",IF(G32="NO",F32,IF(I32="","",F32+I32)))</x:f>
      </x:c>
      <x:c r="K32" s="70" t="str">
        <x:v>R-PAV-REF</x:v>
      </x:c>
      <x:c r="L32" s="70" t="str">
        <x:v>AL_ENSAMBLAR</x:v>
      </x:c>
      <x:c r="M32" s="70" t="str">
        <x:v>REFRIGERADO</x:v>
      </x:c>
      <x:c r="N32" s="70" t="str">
        <x:v>PRODUCIR_PARA_STOCK</x:v>
      </x:c>
      <x:c r="O32" s="70" t="str">
        <x:v>BORRADOR_TECNICO_V1</x:v>
      </x:c>
      <x:c r="P32" s="70" t="str">
        <x:v>NO_HASTA_VALIDAR</x:v>
      </x:c>
      <x:c r="Q32" s="70" t="str">
        <x:v>BOM fija por sabor. Validar prueba piloto, rendimiento, textura y empaque antes de aprobar.</x:v>
      </x:c>
      <x:c r="R32" s="114" t="n">
        <x:f>SUMIF(BOM!$A:$A,A32,BOM!$G:$G)</x:f>
        <x:v>0.27</x:v>
      </x:c>
      <x:c r="S32" s="71" t="str">
        <x:f>IF(F32="","SIN BOM APROBADO",IF(ABS(R32-F32/1000)&lt;0.0001,"OK","REVISAR"))</x:f>
        <x:v>OK</x:v>
      </x:c>
    </x:row>
    <x:row r="33">
      <x:c r="A33" s="69" t="str">
        <x:v>PAV-NUT-270</x:v>
      </x:c>
      <x:c r="B33" s="70" t="str">
        <x:v>Pavé MOMOS Nutella</x:v>
      </x:c>
      <x:c r="C33" s="70" t="str">
        <x:v>Pavé MOMOS</x:v>
      </x:c>
      <x:c r="D33" s="70" t="str">
        <x:v>Nutella</x:v>
      </x:c>
      <x:c r="E33" s="70" t="str">
        <x:v>Cremosa</x:v>
      </x:c>
      <x:c r="F33" s="102" t="n">
        <x:v>270</x:v>
      </x:c>
      <x:c r="G33" s="70" t="str">
        <x:v>SI</x:v>
      </x:c>
      <x:c r="H33" s="70" t="str">
        <x:v>FIG-HOR-NUT</x:v>
      </x:c>
      <x:c r="I33" s="108"/>
      <x:c r="J33" s="108" t="str">
        <x:f>IF(F33="","",IF(G33="NO",F33,IF(I33="","",F33+I33)))</x:f>
      </x:c>
      <x:c r="K33" s="70" t="str">
        <x:v>R-PAV-REF</x:v>
      </x:c>
      <x:c r="L33" s="70" t="str">
        <x:v>AL_ENSAMBLAR</x:v>
      </x:c>
      <x:c r="M33" s="70" t="str">
        <x:v>REFRIGERADO</x:v>
      </x:c>
      <x:c r="N33" s="70" t="str">
        <x:v>PRODUCIR_PARA_STOCK</x:v>
      </x:c>
      <x:c r="O33" s="70" t="str">
        <x:v>BORRADOR_TECNICO_V1</x:v>
      </x:c>
      <x:c r="P33" s="70" t="str">
        <x:v>NO_HASTA_VALIDAR</x:v>
      </x:c>
      <x:c r="Q33" s="70" t="str">
        <x:v>BOM fija por sabor. Validar prueba piloto, rendimiento, textura y empaque antes de aprobar.</x:v>
      </x:c>
      <x:c r="R33" s="114" t="n">
        <x:f>SUMIF(BOM!$A:$A,A33,BOM!$G:$G)</x:f>
        <x:v>0.27</x:v>
      </x:c>
      <x:c r="S33" s="71" t="str">
        <x:f>IF(F33="","SIN BOM APROBADO",IF(ABS(R33-F33/1000)&lt;0.0001,"OK","REVISAR"))</x:f>
        <x:v>OK</x:v>
      </x:c>
    </x:row>
    <x:row r="34">
      <x:c r="A34" s="69" t="str">
        <x:v>PAV-MIL-270</x:v>
      </x:c>
      <x:c r="B34" s="70" t="str">
        <x:v>Pavé MOMOS Milo</x:v>
      </x:c>
      <x:c r="C34" s="70" t="str">
        <x:v>Pavé MOMOS</x:v>
      </x:c>
      <x:c r="D34" s="70" t="str">
        <x:v>Milo</x:v>
      </x:c>
      <x:c r="E34" s="70" t="str">
        <x:v>Cremosa</x:v>
      </x:c>
      <x:c r="F34" s="102" t="n">
        <x:v>270</x:v>
      </x:c>
      <x:c r="G34" s="70" t="str">
        <x:v>SI</x:v>
      </x:c>
      <x:c r="H34" s="70" t="str">
        <x:v>FIG-HOR-MIL</x:v>
      </x:c>
      <x:c r="I34" s="108"/>
      <x:c r="J34" s="108" t="str">
        <x:f>IF(F34="","",IF(G34="NO",F34,IF(I34="","",F34+I34)))</x:f>
      </x:c>
      <x:c r="K34" s="70" t="str">
        <x:v>R-PAV-REF</x:v>
      </x:c>
      <x:c r="L34" s="70" t="str">
        <x:v>AL_ENSAMBLAR</x:v>
      </x:c>
      <x:c r="M34" s="70" t="str">
        <x:v>REFRIGERADO</x:v>
      </x:c>
      <x:c r="N34" s="70" t="str">
        <x:v>PRODUCIR_PARA_STOCK</x:v>
      </x:c>
      <x:c r="O34" s="70" t="str">
        <x:v>BORRADOR_TECNICO_V1</x:v>
      </x:c>
      <x:c r="P34" s="70" t="str">
        <x:v>NO_HASTA_VALIDAR</x:v>
      </x:c>
      <x:c r="Q34" s="70" t="str">
        <x:v>BOM fija por sabor. Validar prueba piloto, rendimiento, textura y empaque antes de aprobar.</x:v>
      </x:c>
      <x:c r="R34" s="114" t="n">
        <x:f>SUMIF(BOM!$A:$A,A34,BOM!$G:$G)</x:f>
        <x:v>0.27</x:v>
      </x:c>
      <x:c r="S34" s="71" t="str">
        <x:f>IF(F34="","SIN BOM APROBADO",IF(ABS(R34-F34/1000)&lt;0.0001,"OK","REVISAR"))</x:f>
        <x:v>OK</x:v>
      </x:c>
    </x:row>
    <x:row r="35">
      <x:c r="A35" s="69" t="str">
        <x:v>CUC-MBI-270</x:v>
      </x:c>
      <x:c r="B35" s="70" t="str">
        <x:v>Cuchareable MOMOS Mango biche</x:v>
      </x:c>
      <x:c r="C35" s="70" t="str">
        <x:v>Cuchareable MOMOS</x:v>
      </x:c>
      <x:c r="D35" s="70" t="str">
        <x:v>Mango biche</x:v>
      </x:c>
      <x:c r="E35" s="70" t="str">
        <x:v>Frutal</x:v>
      </x:c>
      <x:c r="F35" s="102" t="n">
        <x:v>270</x:v>
      </x:c>
      <x:c r="G35" s="70" t="str">
        <x:v>SI</x:v>
      </x:c>
      <x:c r="H35" s="70" t="str">
        <x:v>FIG-HOR-MBI</x:v>
      </x:c>
      <x:c r="I35" s="108"/>
      <x:c r="J35" s="108" t="str">
        <x:f>IF(F35="","",IF(G35="NO",F35,IF(I35="","",F35+I35)))</x:f>
      </x:c>
      <x:c r="K35" s="70" t="str">
        <x:v>R-CUC-REF</x:v>
      </x:c>
      <x:c r="L35" s="70" t="str">
        <x:v>AL_ENSAMBLAR</x:v>
      </x:c>
      <x:c r="M35" s="70" t="str">
        <x:v>REFRIGERADO</x:v>
      </x:c>
      <x:c r="N35" s="70" t="str">
        <x:v>PRODUCIR_PARA_STOCK</x:v>
      </x:c>
      <x:c r="O35" s="70" t="str">
        <x:v>BORRADOR_TECNICO_V1</x:v>
      </x:c>
      <x:c r="P35" s="70" t="str">
        <x:v>NO_HASTA_VALIDAR</x:v>
      </x:c>
      <x:c r="Q35" s="70" t="str">
        <x:v>BOM fija por sabor. Validar prueba piloto, rendimiento, textura y empaque antes de aprobar.</x:v>
      </x:c>
      <x:c r="R35" s="114" t="n">
        <x:f>SUMIF(BOM!$A:$A,A35,BOM!$G:$G)</x:f>
        <x:v>0.27</x:v>
      </x:c>
      <x:c r="S35" s="71" t="str">
        <x:f>IF(F35="","SIN BOM APROBADO",IF(ABS(R35-F35/1000)&lt;0.0001,"OK","REVISAR"))</x:f>
        <x:v>OK</x:v>
      </x:c>
    </x:row>
    <x:row r="36">
      <x:c r="A36" s="69" t="str">
        <x:v>CUC-COC-270</x:v>
      </x:c>
      <x:c r="B36" s="70" t="str">
        <x:v>Cuchareable MOMOS Coco</x:v>
      </x:c>
      <x:c r="C36" s="70" t="str">
        <x:v>Cuchareable MOMOS</x:v>
      </x:c>
      <x:c r="D36" s="70" t="str">
        <x:v>Coco</x:v>
      </x:c>
      <x:c r="E36" s="70" t="str">
        <x:v>Frutal</x:v>
      </x:c>
      <x:c r="F36" s="102" t="n">
        <x:v>270</x:v>
      </x:c>
      <x:c r="G36" s="70" t="str">
        <x:v>SI</x:v>
      </x:c>
      <x:c r="H36" s="70" t="str">
        <x:v>FIG-HOR-COC</x:v>
      </x:c>
      <x:c r="I36" s="108"/>
      <x:c r="J36" s="108" t="str">
        <x:f>IF(F36="","",IF(G36="NO",F36,IF(I36="","",F36+I36)))</x:f>
      </x:c>
      <x:c r="K36" s="70" t="str">
        <x:v>R-CUC-REF</x:v>
      </x:c>
      <x:c r="L36" s="70" t="str">
        <x:v>AL_ENSAMBLAR</x:v>
      </x:c>
      <x:c r="M36" s="70" t="str">
        <x:v>REFRIGERADO</x:v>
      </x:c>
      <x:c r="N36" s="70" t="str">
        <x:v>PRODUCIR_PARA_STOCK</x:v>
      </x:c>
      <x:c r="O36" s="70" t="str">
        <x:v>BORRADOR_TECNICO_V1</x:v>
      </x:c>
      <x:c r="P36" s="70" t="str">
        <x:v>NO_HASTA_VALIDAR</x:v>
      </x:c>
      <x:c r="Q36" s="70" t="str">
        <x:v>BOM fija por sabor. Validar prueba piloto, rendimiento, textura y empaque antes de aprobar.</x:v>
      </x:c>
      <x:c r="R36" s="114" t="n">
        <x:f>SUMIF(BOM!$A:$A,A36,BOM!$G:$G)</x:f>
        <x:v>0.27</x:v>
      </x:c>
      <x:c r="S36" s="71" t="str">
        <x:f>IF(F36="","SIN BOM APROBADO",IF(ABS(R36-F36/1000)&lt;0.0001,"OK","REVISAR"))</x:f>
        <x:v>OK</x:v>
      </x:c>
    </x:row>
    <x:row r="37">
      <x:c r="A37" s="69" t="str">
        <x:v>CUC-MAR-270</x:v>
      </x:c>
      <x:c r="B37" s="70" t="str">
        <x:v>Cuchareable MOMOS Maracuyá</x:v>
      </x:c>
      <x:c r="C37" s="70" t="str">
        <x:v>Cuchareable MOMOS</x:v>
      </x:c>
      <x:c r="D37" s="70" t="str">
        <x:v>Maracuyá</x:v>
      </x:c>
      <x:c r="E37" s="70" t="str">
        <x:v>Frutal</x:v>
      </x:c>
      <x:c r="F37" s="102" t="n">
        <x:v>270</x:v>
      </x:c>
      <x:c r="G37" s="70" t="str">
        <x:v>SI</x:v>
      </x:c>
      <x:c r="H37" s="70" t="str">
        <x:v>FIG-HOR-MAR</x:v>
      </x:c>
      <x:c r="I37" s="108"/>
      <x:c r="J37" s="108" t="str">
        <x:f>IF(F37="","",IF(G37="NO",F37,IF(I37="","",F37+I37)))</x:f>
      </x:c>
      <x:c r="K37" s="70" t="str">
        <x:v>R-CUC-REF</x:v>
      </x:c>
      <x:c r="L37" s="70" t="str">
        <x:v>AL_ENSAMBLAR</x:v>
      </x:c>
      <x:c r="M37" s="70" t="str">
        <x:v>REFRIGERADO</x:v>
      </x:c>
      <x:c r="N37" s="70" t="str">
        <x:v>PRODUCIR_PARA_STOCK</x:v>
      </x:c>
      <x:c r="O37" s="70" t="str">
        <x:v>BORRADOR_TECNICO_V1</x:v>
      </x:c>
      <x:c r="P37" s="70" t="str">
        <x:v>NO_HASTA_VALIDAR</x:v>
      </x:c>
      <x:c r="Q37" s="70" t="str">
        <x:v>BOM fija por sabor. Validar prueba piloto, rendimiento, textura y empaque antes de aprobar.</x:v>
      </x:c>
      <x:c r="R37" s="114" t="n">
        <x:f>SUMIF(BOM!$A:$A,A37,BOM!$G:$G)</x:f>
        <x:v>0.27</x:v>
      </x:c>
      <x:c r="S37" s="71" t="str">
        <x:f>IF(F37="","SIN BOM APROBADO",IF(ABS(R37-F37/1000)&lt;0.0001,"OK","REVISAR"))</x:f>
        <x:v>OK</x:v>
      </x:c>
    </x:row>
    <x:row r="38">
      <x:c r="A38" s="69" t="str">
        <x:v>CUC-LIM-270</x:v>
      </x:c>
      <x:c r="B38" s="70" t="str">
        <x:v>Cuchareable MOMOS Limón</x:v>
      </x:c>
      <x:c r="C38" s="70" t="str">
        <x:v>Cuchareable MOMOS</x:v>
      </x:c>
      <x:c r="D38" s="70" t="str">
        <x:v>Limón</x:v>
      </x:c>
      <x:c r="E38" s="70" t="str">
        <x:v>Frutal</x:v>
      </x:c>
      <x:c r="F38" s="102" t="n">
        <x:v>270</x:v>
      </x:c>
      <x:c r="G38" s="70" t="str">
        <x:v>SI</x:v>
      </x:c>
      <x:c r="H38" s="70" t="str">
        <x:v>FIG-HOR-LIM</x:v>
      </x:c>
      <x:c r="I38" s="108"/>
      <x:c r="J38" s="108" t="str">
        <x:f>IF(F38="","",IF(G38="NO",F38,IF(I38="","",F38+I38)))</x:f>
      </x:c>
      <x:c r="K38" s="70" t="str">
        <x:v>R-CUC-REF</x:v>
      </x:c>
      <x:c r="L38" s="70" t="str">
        <x:v>AL_ENSAMBLAR</x:v>
      </x:c>
      <x:c r="M38" s="70" t="str">
        <x:v>REFRIGERADO</x:v>
      </x:c>
      <x:c r="N38" s="70" t="str">
        <x:v>PRODUCIR_PARA_STOCK</x:v>
      </x:c>
      <x:c r="O38" s="70" t="str">
        <x:v>BORRADOR_TECNICO_V1</x:v>
      </x:c>
      <x:c r="P38" s="70" t="str">
        <x:v>NO_HASTA_VALIDAR</x:v>
      </x:c>
      <x:c r="Q38" s="70" t="str">
        <x:v>BOM fija por sabor. Validar prueba piloto, rendimiento, textura y empaque antes de aprobar.</x:v>
      </x:c>
      <x:c r="R38" s="114" t="n">
        <x:f>SUMIF(BOM!$A:$A,A38,BOM!$G:$G)</x:f>
        <x:v>0.27</x:v>
      </x:c>
      <x:c r="S38" s="71" t="str">
        <x:f>IF(F38="","SIN BOM APROBADO",IF(ABS(R38-F38/1000)&lt;0.0001,"OK","REVISAR"))</x:f>
        <x:v>OK</x:v>
      </x:c>
    </x:row>
    <x:row r="39">
      <x:c r="A39" s="69" t="str">
        <x:v>CUC-BAN-270</x:v>
      </x:c>
      <x:c r="B39" s="70" t="str">
        <x:v>Cuchareable MOMOS Banano</x:v>
      </x:c>
      <x:c r="C39" s="70" t="str">
        <x:v>Cuchareable MOMOS</x:v>
      </x:c>
      <x:c r="D39" s="70" t="str">
        <x:v>Banano</x:v>
      </x:c>
      <x:c r="E39" s="70" t="str">
        <x:v>Frutal</x:v>
      </x:c>
      <x:c r="F39" s="102" t="n">
        <x:v>270</x:v>
      </x:c>
      <x:c r="G39" s="70" t="str">
        <x:v>SI</x:v>
      </x:c>
      <x:c r="H39" s="70" t="str">
        <x:v>FIG-HOR-BAN</x:v>
      </x:c>
      <x:c r="I39" s="108"/>
      <x:c r="J39" s="108" t="str">
        <x:f>IF(F39="","",IF(G39="NO",F39,IF(I39="","",F39+I39)))</x:f>
      </x:c>
      <x:c r="K39" s="70" t="str">
        <x:v>R-CUC-REF</x:v>
      </x:c>
      <x:c r="L39" s="70" t="str">
        <x:v>AL_ENSAMBLAR</x:v>
      </x:c>
      <x:c r="M39" s="70" t="str">
        <x:v>REFRIGERADO</x:v>
      </x:c>
      <x:c r="N39" s="70" t="str">
        <x:v>PRODUCIR_PARA_STOCK</x:v>
      </x:c>
      <x:c r="O39" s="70" t="str">
        <x:v>BORRADOR_TECNICO_V1</x:v>
      </x:c>
      <x:c r="P39" s="70" t="str">
        <x:v>NO_HASTA_VALIDAR</x:v>
      </x:c>
      <x:c r="Q39" s="70" t="str">
        <x:v>BOM fija por sabor. Validar prueba piloto, rendimiento, textura y empaque antes de aprobar.</x:v>
      </x:c>
      <x:c r="R39" s="114" t="n">
        <x:f>SUMIF(BOM!$A:$A,A39,BOM!$G:$G)</x:f>
        <x:v>0.27</x:v>
      </x:c>
      <x:c r="S39" s="71" t="str">
        <x:f>IF(F39="","SIN BOM APROBADO",IF(ABS(R39-F39/1000)&lt;0.0001,"OK","REVISAR"))</x:f>
        <x:v>OK</x:v>
      </x:c>
    </x:row>
    <x:row r="40">
      <x:c r="A40" s="69" t="str">
        <x:v>CUC-DUR-270</x:v>
      </x:c>
      <x:c r="B40" s="70" t="str">
        <x:v>Cuchareable MOMOS Durazno</x:v>
      </x:c>
      <x:c r="C40" s="70" t="str">
        <x:v>Cuchareable MOMOS</x:v>
      </x:c>
      <x:c r="D40" s="70" t="str">
        <x:v>Durazno</x:v>
      </x:c>
      <x:c r="E40" s="70" t="str">
        <x:v>Frutal</x:v>
      </x:c>
      <x:c r="F40" s="102" t="n">
        <x:v>270</x:v>
      </x:c>
      <x:c r="G40" s="70" t="str">
        <x:v>SI</x:v>
      </x:c>
      <x:c r="H40" s="70" t="str">
        <x:v>FIG-HOR-DUR</x:v>
      </x:c>
      <x:c r="I40" s="108"/>
      <x:c r="J40" s="108" t="str">
        <x:f>IF(F40="","",IF(G40="NO",F40,IF(I40="","",F40+I40)))</x:f>
      </x:c>
      <x:c r="K40" s="70" t="str">
        <x:v>R-CUC-REF</x:v>
      </x:c>
      <x:c r="L40" s="70" t="str">
        <x:v>AL_ENSAMBLAR</x:v>
      </x:c>
      <x:c r="M40" s="70" t="str">
        <x:v>REFRIGERADO</x:v>
      </x:c>
      <x:c r="N40" s="70" t="str">
        <x:v>PRODUCIR_PARA_STOCK</x:v>
      </x:c>
      <x:c r="O40" s="70" t="str">
        <x:v>BORRADOR_TECNICO_V1</x:v>
      </x:c>
      <x:c r="P40" s="70" t="str">
        <x:v>NO_HASTA_VALIDAR</x:v>
      </x:c>
      <x:c r="Q40" s="70" t="str">
        <x:v>BOM fija por sabor. Validar prueba piloto, rendimiento, textura y empaque antes de aprobar.</x:v>
      </x:c>
      <x:c r="R40" s="114" t="n">
        <x:f>SUMIF(BOM!$A:$A,A40,BOM!$G:$G)</x:f>
        <x:v>0.27</x:v>
      </x:c>
      <x:c r="S40" s="71" t="str">
        <x:f>IF(F40="","SIN BOM APROBADO",IF(ABS(R40-F40/1000)&lt;0.0001,"OK","REVISAR"))</x:f>
        <x:v>OK</x:v>
      </x:c>
    </x:row>
    <x:row r="41">
      <x:c r="A41" s="69" t="str">
        <x:v>CUC-MNM-270</x:v>
      </x:c>
      <x:c r="B41" s="70" t="str">
        <x:v>Cuchareable MOMOS M&amp;M</x:v>
      </x:c>
      <x:c r="C41" s="70" t="str">
        <x:v>Cuchareable MOMOS</x:v>
      </x:c>
      <x:c r="D41" s="70" t="str">
        <x:v>M&amp;M</x:v>
      </x:c>
      <x:c r="E41" s="70" t="str">
        <x:v>Cremosa</x:v>
      </x:c>
      <x:c r="F41" s="102" t="n">
        <x:v>270</x:v>
      </x:c>
      <x:c r="G41" s="70" t="str">
        <x:v>SI</x:v>
      </x:c>
      <x:c r="H41" s="70" t="str">
        <x:v>FIG-HOR-MNM</x:v>
      </x:c>
      <x:c r="I41" s="108"/>
      <x:c r="J41" s="108" t="str">
        <x:f>IF(F41="","",IF(G41="NO",F41,IF(I41="","",F41+I41)))</x:f>
      </x:c>
      <x:c r="K41" s="70" t="str">
        <x:v>R-CUC-REF</x:v>
      </x:c>
      <x:c r="L41" s="70" t="str">
        <x:v>AL_ENSAMBLAR</x:v>
      </x:c>
      <x:c r="M41" s="70" t="str">
        <x:v>REFRIGERADO</x:v>
      </x:c>
      <x:c r="N41" s="70" t="str">
        <x:v>PRODUCIR_PARA_STOCK</x:v>
      </x:c>
      <x:c r="O41" s="70" t="str">
        <x:v>BORRADOR_TECNICO_V1</x:v>
      </x:c>
      <x:c r="P41" s="70" t="str">
        <x:v>NO_HASTA_VALIDAR</x:v>
      </x:c>
      <x:c r="Q41" s="70" t="str">
        <x:v>BOM fija por sabor. Validar prueba piloto, rendimiento, textura y empaque antes de aprobar.</x:v>
      </x:c>
      <x:c r="R41" s="114" t="n">
        <x:f>SUMIF(BOM!$A:$A,A41,BOM!$G:$G)</x:f>
        <x:v>0.27</x:v>
      </x:c>
      <x:c r="S41" s="71" t="str">
        <x:f>IF(F41="","SIN BOM APROBADO",IF(ABS(R41-F41/1000)&lt;0.0001,"OK","REVISAR"))</x:f>
        <x:v>OK</x:v>
      </x:c>
    </x:row>
    <x:row r="42">
      <x:c r="A42" s="69" t="str">
        <x:v>CUC-ORE-270</x:v>
      </x:c>
      <x:c r="B42" s="70" t="str">
        <x:v>Cuchareable MOMOS Oreo</x:v>
      </x:c>
      <x:c r="C42" s="70" t="str">
        <x:v>Cuchareable MOMOS</x:v>
      </x:c>
      <x:c r="D42" s="70" t="str">
        <x:v>Oreo</x:v>
      </x:c>
      <x:c r="E42" s="70" t="str">
        <x:v>Cremosa</x:v>
      </x:c>
      <x:c r="F42" s="102" t="n">
        <x:v>270</x:v>
      </x:c>
      <x:c r="G42" s="70" t="str">
        <x:v>SI</x:v>
      </x:c>
      <x:c r="H42" s="70" t="str">
        <x:v>FIG-HOR-ORE</x:v>
      </x:c>
      <x:c r="I42" s="108"/>
      <x:c r="J42" s="108" t="str">
        <x:f>IF(F42="","",IF(G42="NO",F42,IF(I42="","",F42+I42)))</x:f>
      </x:c>
      <x:c r="K42" s="70" t="str">
        <x:v>R-CUC-REF</x:v>
      </x:c>
      <x:c r="L42" s="70" t="str">
        <x:v>AL_ENSAMBLAR</x:v>
      </x:c>
      <x:c r="M42" s="70" t="str">
        <x:v>REFRIGERADO</x:v>
      </x:c>
      <x:c r="N42" s="70" t="str">
        <x:v>PRODUCIR_PARA_STOCK</x:v>
      </x:c>
      <x:c r="O42" s="70" t="str">
        <x:v>BORRADOR_TECNICO_V1</x:v>
      </x:c>
      <x:c r="P42" s="70" t="str">
        <x:v>NO_HASTA_VALIDAR</x:v>
      </x:c>
      <x:c r="Q42" s="70" t="str">
        <x:v>BOM fija por sabor. Validar prueba piloto, rendimiento, textura y empaque antes de aprobar.</x:v>
      </x:c>
      <x:c r="R42" s="114" t="n">
        <x:f>SUMIF(BOM!$A:$A,A42,BOM!$G:$G)</x:f>
        <x:v>0.27</x:v>
      </x:c>
      <x:c r="S42" s="71" t="str">
        <x:f>IF(F42="","SIN BOM APROBADO",IF(ABS(R42-F42/1000)&lt;0.0001,"OK","REVISAR"))</x:f>
        <x:v>OK</x:v>
      </x:c>
    </x:row>
    <x:row r="43">
      <x:c r="A43" s="69" t="str">
        <x:v>CUC-CSL-270</x:v>
      </x:c>
      <x:c r="B43" s="70" t="str">
        <x:v>Cuchareable MOMOS Caramelo salado</x:v>
      </x:c>
      <x:c r="C43" s="70" t="str">
        <x:v>Cuchareable MOMOS</x:v>
      </x:c>
      <x:c r="D43" s="70" t="str">
        <x:v>Caramelo salado</x:v>
      </x:c>
      <x:c r="E43" s="70" t="str">
        <x:v>Cremosa</x:v>
      </x:c>
      <x:c r="F43" s="102" t="n">
        <x:v>270</x:v>
      </x:c>
      <x:c r="G43" s="70" t="str">
        <x:v>SI</x:v>
      </x:c>
      <x:c r="H43" s="70" t="str">
        <x:v>FIG-HOR-CSL</x:v>
      </x:c>
      <x:c r="I43" s="108"/>
      <x:c r="J43" s="108" t="str">
        <x:f>IF(F43="","",IF(G43="NO",F43,IF(I43="","",F43+I43)))</x:f>
      </x:c>
      <x:c r="K43" s="70" t="str">
        <x:v>R-CUC-REF</x:v>
      </x:c>
      <x:c r="L43" s="70" t="str">
        <x:v>AL_ENSAMBLAR</x:v>
      </x:c>
      <x:c r="M43" s="70" t="str">
        <x:v>REFRIGERADO</x:v>
      </x:c>
      <x:c r="N43" s="70" t="str">
        <x:v>PRODUCIR_PARA_STOCK</x:v>
      </x:c>
      <x:c r="O43" s="70" t="str">
        <x:v>BORRADOR_TECNICO_V1</x:v>
      </x:c>
      <x:c r="P43" s="70" t="str">
        <x:v>NO_HASTA_VALIDAR</x:v>
      </x:c>
      <x:c r="Q43" s="70" t="str">
        <x:v>BOM fija por sabor. Validar prueba piloto, rendimiento, textura y empaque antes de aprobar.</x:v>
      </x:c>
      <x:c r="R43" s="114" t="n">
        <x:f>SUMIF(BOM!$A:$A,A43,BOM!$G:$G)</x:f>
        <x:v>0.27</x:v>
      </x:c>
      <x:c r="S43" s="71" t="str">
        <x:f>IF(F43="","SIN BOM APROBADO",IF(ABS(R43-F43/1000)&lt;0.0001,"OK","REVISAR"))</x:f>
        <x:v>OK</x:v>
      </x:c>
    </x:row>
    <x:row r="44">
      <x:c r="A44" s="69" t="str">
        <x:v>CUC-NUT-270</x:v>
      </x:c>
      <x:c r="B44" s="70" t="str">
        <x:v>Cuchareable MOMOS Nutella</x:v>
      </x:c>
      <x:c r="C44" s="70" t="str">
        <x:v>Cuchareable MOMOS</x:v>
      </x:c>
      <x:c r="D44" s="70" t="str">
        <x:v>Nutella</x:v>
      </x:c>
      <x:c r="E44" s="70" t="str">
        <x:v>Cremosa</x:v>
      </x:c>
      <x:c r="F44" s="102" t="n">
        <x:v>270</x:v>
      </x:c>
      <x:c r="G44" s="70" t="str">
        <x:v>SI</x:v>
      </x:c>
      <x:c r="H44" s="70" t="str">
        <x:v>FIG-HOR-NUT</x:v>
      </x:c>
      <x:c r="I44" s="108"/>
      <x:c r="J44" s="108" t="str">
        <x:f>IF(F44="","",IF(G44="NO",F44,IF(I44="","",F44+I44)))</x:f>
      </x:c>
      <x:c r="K44" s="70" t="str">
        <x:v>R-CUC-REF</x:v>
      </x:c>
      <x:c r="L44" s="70" t="str">
        <x:v>AL_ENSAMBLAR</x:v>
      </x:c>
      <x:c r="M44" s="70" t="str">
        <x:v>REFRIGERADO</x:v>
      </x:c>
      <x:c r="N44" s="70" t="str">
        <x:v>PRODUCIR_PARA_STOCK</x:v>
      </x:c>
      <x:c r="O44" s="70" t="str">
        <x:v>BORRADOR_TECNICO_V1</x:v>
      </x:c>
      <x:c r="P44" s="70" t="str">
        <x:v>NO_HASTA_VALIDAR</x:v>
      </x:c>
      <x:c r="Q44" s="70" t="str">
        <x:v>BOM fija por sabor. Validar prueba piloto, rendimiento, textura y empaque antes de aprobar.</x:v>
      </x:c>
      <x:c r="R44" s="114" t="n">
        <x:f>SUMIF(BOM!$A:$A,A44,BOM!$G:$G)</x:f>
        <x:v>0.27</x:v>
      </x:c>
      <x:c r="S44" s="71" t="str">
        <x:f>IF(F44="","SIN BOM APROBADO",IF(ABS(R44-F44/1000)&lt;0.0001,"OK","REVISAR"))</x:f>
        <x:v>OK</x:v>
      </x:c>
    </x:row>
    <x:row r="45">
      <x:c r="A45" s="69" t="str">
        <x:v>CUC-MIL-270</x:v>
      </x:c>
      <x:c r="B45" s="70" t="str">
        <x:v>Cuchareable MOMOS Milo</x:v>
      </x:c>
      <x:c r="C45" s="70" t="str">
        <x:v>Cuchareable MOMOS</x:v>
      </x:c>
      <x:c r="D45" s="70" t="str">
        <x:v>Milo</x:v>
      </x:c>
      <x:c r="E45" s="70" t="str">
        <x:v>Cremosa</x:v>
      </x:c>
      <x:c r="F45" s="102" t="n">
        <x:v>270</x:v>
      </x:c>
      <x:c r="G45" s="70" t="str">
        <x:v>SI</x:v>
      </x:c>
      <x:c r="H45" s="70" t="str">
        <x:v>FIG-HOR-MIL</x:v>
      </x:c>
      <x:c r="I45" s="108"/>
      <x:c r="J45" s="108" t="str">
        <x:f>IF(F45="","",IF(G45="NO",F45,IF(I45="","",F45+I45)))</x:f>
      </x:c>
      <x:c r="K45" s="70" t="str">
        <x:v>R-CUC-REF</x:v>
      </x:c>
      <x:c r="L45" s="70" t="str">
        <x:v>AL_ENSAMBLAR</x:v>
      </x:c>
      <x:c r="M45" s="70" t="str">
        <x:v>REFRIGERADO</x:v>
      </x:c>
      <x:c r="N45" s="70" t="str">
        <x:v>PRODUCIR_PARA_STOCK</x:v>
      </x:c>
      <x:c r="O45" s="70" t="str">
        <x:v>BORRADOR_TECNICO_V1</x:v>
      </x:c>
      <x:c r="P45" s="70" t="str">
        <x:v>NO_HASTA_VALIDAR</x:v>
      </x:c>
      <x:c r="Q45" s="70" t="str">
        <x:v>BOM fija por sabor. Validar prueba piloto, rendimiento, textura y empaque antes de aprobar.</x:v>
      </x:c>
      <x:c r="R45" s="114" t="n">
        <x:f>SUMIF(BOM!$A:$A,A45,BOM!$G:$G)</x:f>
        <x:v>0.27</x:v>
      </x:c>
      <x:c r="S45" s="71" t="str">
        <x:f>IF(F45="","SIN BOM APROBADO",IF(ABS(R45-F45/1000)&lt;0.0001,"OK","REVISAR"))</x:f>
        <x:v>OK</x:v>
      </x:c>
    </x:row>
    <x:row r="46">
      <x:c r="A46" s="69" t="str">
        <x:v>SUN-MBI-270</x:v>
      </x:c>
      <x:c r="B46" s="70" t="str">
        <x:v>Sundae MOMOS Mango biche</x:v>
      </x:c>
      <x:c r="C46" s="70" t="str">
        <x:v>Sundae MOMOS</x:v>
      </x:c>
      <x:c r="D46" s="70" t="str">
        <x:v>Mango biche</x:v>
      </x:c>
      <x:c r="E46" s="70" t="str">
        <x:v>Frutal</x:v>
      </x:c>
      <x:c r="F46" s="102" t="n">
        <x:v>270</x:v>
      </x:c>
      <x:c r="G46" s="70" t="str">
        <x:v>NO</x:v>
      </x:c>
      <x:c r="H46" s="70" t="str"/>
      <x:c r="I46" s="108"/>
      <x:c r="J46" s="108" t="n">
        <x:f>IF(F46="","",IF(G46="NO",F46,IF(I46="","",F46+I46)))</x:f>
        <x:v>270</x:v>
      </x:c>
      <x:c r="K46" s="70" t="str">
        <x:v>R-SUN-PED</x:v>
      </x:c>
      <x:c r="L46" s="70" t="str">
        <x:v>AL_PREPARAR</x:v>
      </x:c>
      <x:c r="M46" s="70" t="str">
        <x:v>CONSUMO_INMEDIATO</x:v>
      </x:c>
      <x:c r="N46" s="70" t="str">
        <x:v>PREPARAR_AL_PEDIDO</x:v>
      </x:c>
      <x:c r="O46" s="70" t="str">
        <x:v>BORRADOR_TECNICO_V1</x:v>
      </x:c>
      <x:c r="P46" s="70" t="str">
        <x:v>NO_HASTA_VALIDAR</x:v>
      </x:c>
      <x:c r="Q46" s="70" t="str">
        <x:v>BOM fija por sabor. Validar prueba piloto, rendimiento, textura y empaque antes de aprobar.</x:v>
      </x:c>
      <x:c r="R46" s="114" t="n">
        <x:f>SUMIF(BOM!$A:$A,A46,BOM!$G:$G)</x:f>
        <x:v>0.27</x:v>
      </x:c>
      <x:c r="S46" s="71" t="str">
        <x:f>IF(F46="","SIN BOM APROBADO",IF(ABS(R46-F46/1000)&lt;0.0001,"OK","REVISAR"))</x:f>
        <x:v>OK</x:v>
      </x:c>
    </x:row>
    <x:row r="47">
      <x:c r="A47" s="69" t="str">
        <x:v>SUN-COC-270</x:v>
      </x:c>
      <x:c r="B47" s="70" t="str">
        <x:v>Sundae MOMOS Coco</x:v>
      </x:c>
      <x:c r="C47" s="70" t="str">
        <x:v>Sundae MOMOS</x:v>
      </x:c>
      <x:c r="D47" s="70" t="str">
        <x:v>Coco</x:v>
      </x:c>
      <x:c r="E47" s="70" t="str">
        <x:v>Frutal</x:v>
      </x:c>
      <x:c r="F47" s="102" t="n">
        <x:v>270</x:v>
      </x:c>
      <x:c r="G47" s="70" t="str">
        <x:v>NO</x:v>
      </x:c>
      <x:c r="H47" s="70" t="str"/>
      <x:c r="I47" s="108"/>
      <x:c r="J47" s="108" t="n">
        <x:f>IF(F47="","",IF(G47="NO",F47,IF(I47="","",F47+I47)))</x:f>
        <x:v>270</x:v>
      </x:c>
      <x:c r="K47" s="70" t="str">
        <x:v>R-SUN-PED</x:v>
      </x:c>
      <x:c r="L47" s="70" t="str">
        <x:v>AL_PREPARAR</x:v>
      </x:c>
      <x:c r="M47" s="70" t="str">
        <x:v>CONSUMO_INMEDIATO</x:v>
      </x:c>
      <x:c r="N47" s="70" t="str">
        <x:v>PREPARAR_AL_PEDIDO</x:v>
      </x:c>
      <x:c r="O47" s="70" t="str">
        <x:v>BORRADOR_TECNICO_V1</x:v>
      </x:c>
      <x:c r="P47" s="70" t="str">
        <x:v>NO_HASTA_VALIDAR</x:v>
      </x:c>
      <x:c r="Q47" s="70" t="str">
        <x:v>BOM fija por sabor. Validar prueba piloto, rendimiento, textura y empaque antes de aprobar.</x:v>
      </x:c>
      <x:c r="R47" s="114" t="n">
        <x:f>SUMIF(BOM!$A:$A,A47,BOM!$G:$G)</x:f>
        <x:v>0.27</x:v>
      </x:c>
      <x:c r="S47" s="71" t="str">
        <x:f>IF(F47="","SIN BOM APROBADO",IF(ABS(R47-F47/1000)&lt;0.0001,"OK","REVISAR"))</x:f>
        <x:v>OK</x:v>
      </x:c>
    </x:row>
    <x:row r="48">
      <x:c r="A48" s="69" t="str">
        <x:v>SUN-MAR-270</x:v>
      </x:c>
      <x:c r="B48" s="70" t="str">
        <x:v>Sundae MOMOS Maracuyá</x:v>
      </x:c>
      <x:c r="C48" s="70" t="str">
        <x:v>Sundae MOMOS</x:v>
      </x:c>
      <x:c r="D48" s="70" t="str">
        <x:v>Maracuyá</x:v>
      </x:c>
      <x:c r="E48" s="70" t="str">
        <x:v>Frutal</x:v>
      </x:c>
      <x:c r="F48" s="102" t="n">
        <x:v>270</x:v>
      </x:c>
      <x:c r="G48" s="70" t="str">
        <x:v>NO</x:v>
      </x:c>
      <x:c r="H48" s="70" t="str"/>
      <x:c r="I48" s="108"/>
      <x:c r="J48" s="108" t="n">
        <x:f>IF(F48="","",IF(G48="NO",F48,IF(I48="","",F48+I48)))</x:f>
        <x:v>270</x:v>
      </x:c>
      <x:c r="K48" s="70" t="str">
        <x:v>R-SUN-PED</x:v>
      </x:c>
      <x:c r="L48" s="70" t="str">
        <x:v>AL_PREPARAR</x:v>
      </x:c>
      <x:c r="M48" s="70" t="str">
        <x:v>CONSUMO_INMEDIATO</x:v>
      </x:c>
      <x:c r="N48" s="70" t="str">
        <x:v>PREPARAR_AL_PEDIDO</x:v>
      </x:c>
      <x:c r="O48" s="70" t="str">
        <x:v>BORRADOR_TECNICO_V1</x:v>
      </x:c>
      <x:c r="P48" s="70" t="str">
        <x:v>NO_HASTA_VALIDAR</x:v>
      </x:c>
      <x:c r="Q48" s="70" t="str">
        <x:v>BOM fija por sabor. Validar prueba piloto, rendimiento, textura y empaque antes de aprobar.</x:v>
      </x:c>
      <x:c r="R48" s="114" t="n">
        <x:f>SUMIF(BOM!$A:$A,A48,BOM!$G:$G)</x:f>
        <x:v>0.27</x:v>
      </x:c>
      <x:c r="S48" s="71" t="str">
        <x:f>IF(F48="","SIN BOM APROBADO",IF(ABS(R48-F48/1000)&lt;0.0001,"OK","REVISAR"))</x:f>
        <x:v>OK</x:v>
      </x:c>
    </x:row>
    <x:row r="49">
      <x:c r="A49" s="69" t="str">
        <x:v>SUN-LIM-270</x:v>
      </x:c>
      <x:c r="B49" s="70" t="str">
        <x:v>Sundae MOMOS Limón</x:v>
      </x:c>
      <x:c r="C49" s="70" t="str">
        <x:v>Sundae MOMOS</x:v>
      </x:c>
      <x:c r="D49" s="70" t="str">
        <x:v>Limón</x:v>
      </x:c>
      <x:c r="E49" s="70" t="str">
        <x:v>Frutal</x:v>
      </x:c>
      <x:c r="F49" s="102" t="n">
        <x:v>270</x:v>
      </x:c>
      <x:c r="G49" s="70" t="str">
        <x:v>NO</x:v>
      </x:c>
      <x:c r="H49" s="70" t="str"/>
      <x:c r="I49" s="108"/>
      <x:c r="J49" s="108" t="n">
        <x:f>IF(F49="","",IF(G49="NO",F49,IF(I49="","",F49+I49)))</x:f>
        <x:v>270</x:v>
      </x:c>
      <x:c r="K49" s="70" t="str">
        <x:v>R-SUN-PED</x:v>
      </x:c>
      <x:c r="L49" s="70" t="str">
        <x:v>AL_PREPARAR</x:v>
      </x:c>
      <x:c r="M49" s="70" t="str">
        <x:v>CONSUMO_INMEDIATO</x:v>
      </x:c>
      <x:c r="N49" s="70" t="str">
        <x:v>PREPARAR_AL_PEDIDO</x:v>
      </x:c>
      <x:c r="O49" s="70" t="str">
        <x:v>BORRADOR_TECNICO_V1</x:v>
      </x:c>
      <x:c r="P49" s="70" t="str">
        <x:v>NO_HASTA_VALIDAR</x:v>
      </x:c>
      <x:c r="Q49" s="70" t="str">
        <x:v>BOM fija por sabor. Validar prueba piloto, rendimiento, textura y empaque antes de aprobar.</x:v>
      </x:c>
      <x:c r="R49" s="114" t="n">
        <x:f>SUMIF(BOM!$A:$A,A49,BOM!$G:$G)</x:f>
        <x:v>0.27</x:v>
      </x:c>
      <x:c r="S49" s="71" t="str">
        <x:f>IF(F49="","SIN BOM APROBADO",IF(ABS(R49-F49/1000)&lt;0.0001,"OK","REVISAR"))</x:f>
        <x:v>OK</x:v>
      </x:c>
    </x:row>
    <x:row r="50">
      <x:c r="A50" s="69" t="str">
        <x:v>SUN-BAN-270</x:v>
      </x:c>
      <x:c r="B50" s="70" t="str">
        <x:v>Sundae MOMOS Banano</x:v>
      </x:c>
      <x:c r="C50" s="70" t="str">
        <x:v>Sundae MOMOS</x:v>
      </x:c>
      <x:c r="D50" s="70" t="str">
        <x:v>Banano</x:v>
      </x:c>
      <x:c r="E50" s="70" t="str">
        <x:v>Frutal</x:v>
      </x:c>
      <x:c r="F50" s="102" t="n">
        <x:v>270</x:v>
      </x:c>
      <x:c r="G50" s="70" t="str">
        <x:v>NO</x:v>
      </x:c>
      <x:c r="H50" s="70" t="str"/>
      <x:c r="I50" s="108"/>
      <x:c r="J50" s="108" t="n">
        <x:f>IF(F50="","",IF(G50="NO",F50,IF(I50="","",F50+I50)))</x:f>
        <x:v>270</x:v>
      </x:c>
      <x:c r="K50" s="70" t="str">
        <x:v>R-SUN-PED</x:v>
      </x:c>
      <x:c r="L50" s="70" t="str">
        <x:v>AL_PREPARAR</x:v>
      </x:c>
      <x:c r="M50" s="70" t="str">
        <x:v>CONSUMO_INMEDIATO</x:v>
      </x:c>
      <x:c r="N50" s="70" t="str">
        <x:v>PREPARAR_AL_PEDIDO</x:v>
      </x:c>
      <x:c r="O50" s="70" t="str">
        <x:v>BORRADOR_TECNICO_V1</x:v>
      </x:c>
      <x:c r="P50" s="70" t="str">
        <x:v>NO_HASTA_VALIDAR</x:v>
      </x:c>
      <x:c r="Q50" s="70" t="str">
        <x:v>BOM fija por sabor. Validar prueba piloto, rendimiento, textura y empaque antes de aprobar.</x:v>
      </x:c>
      <x:c r="R50" s="114" t="n">
        <x:f>SUMIF(BOM!$A:$A,A50,BOM!$G:$G)</x:f>
        <x:v>0.27</x:v>
      </x:c>
      <x:c r="S50" s="71" t="str">
        <x:f>IF(F50="","SIN BOM APROBADO",IF(ABS(R50-F50/1000)&lt;0.0001,"OK","REVISAR"))</x:f>
        <x:v>OK</x:v>
      </x:c>
    </x:row>
    <x:row r="51">
      <x:c r="A51" s="69" t="str">
        <x:v>SUN-DUR-270</x:v>
      </x:c>
      <x:c r="B51" s="70" t="str">
        <x:v>Sundae MOMOS Durazno</x:v>
      </x:c>
      <x:c r="C51" s="70" t="str">
        <x:v>Sundae MOMOS</x:v>
      </x:c>
      <x:c r="D51" s="70" t="str">
        <x:v>Durazno</x:v>
      </x:c>
      <x:c r="E51" s="70" t="str">
        <x:v>Frutal</x:v>
      </x:c>
      <x:c r="F51" s="102" t="n">
        <x:v>270</x:v>
      </x:c>
      <x:c r="G51" s="70" t="str">
        <x:v>NO</x:v>
      </x:c>
      <x:c r="H51" s="70" t="str"/>
      <x:c r="I51" s="108"/>
      <x:c r="J51" s="108" t="n">
        <x:f>IF(F51="","",IF(G51="NO",F51,IF(I51="","",F51+I51)))</x:f>
        <x:v>270</x:v>
      </x:c>
      <x:c r="K51" s="70" t="str">
        <x:v>R-SUN-PED</x:v>
      </x:c>
      <x:c r="L51" s="70" t="str">
        <x:v>AL_PREPARAR</x:v>
      </x:c>
      <x:c r="M51" s="70" t="str">
        <x:v>CONSUMO_INMEDIATO</x:v>
      </x:c>
      <x:c r="N51" s="70" t="str">
        <x:v>PREPARAR_AL_PEDIDO</x:v>
      </x:c>
      <x:c r="O51" s="70" t="str">
        <x:v>BORRADOR_TECNICO_V1</x:v>
      </x:c>
      <x:c r="P51" s="70" t="str">
        <x:v>NO_HASTA_VALIDAR</x:v>
      </x:c>
      <x:c r="Q51" s="70" t="str">
        <x:v>BOM fija por sabor. Validar prueba piloto, rendimiento, textura y empaque antes de aprobar.</x:v>
      </x:c>
      <x:c r="R51" s="114" t="n">
        <x:f>SUMIF(BOM!$A:$A,A51,BOM!$G:$G)</x:f>
        <x:v>0.27</x:v>
      </x:c>
      <x:c r="S51" s="71" t="str">
        <x:f>IF(F51="","SIN BOM APROBADO",IF(ABS(R51-F51/1000)&lt;0.0001,"OK","REVISAR"))</x:f>
        <x:v>OK</x:v>
      </x:c>
    </x:row>
    <x:row r="52">
      <x:c r="A52" s="69" t="str">
        <x:v>SUN-MNM-270</x:v>
      </x:c>
      <x:c r="B52" s="70" t="str">
        <x:v>Sundae MOMOS M&amp;M</x:v>
      </x:c>
      <x:c r="C52" s="70" t="str">
        <x:v>Sundae MOMOS</x:v>
      </x:c>
      <x:c r="D52" s="70" t="str">
        <x:v>M&amp;M</x:v>
      </x:c>
      <x:c r="E52" s="70" t="str">
        <x:v>Cremosa</x:v>
      </x:c>
      <x:c r="F52" s="102" t="n">
        <x:v>270</x:v>
      </x:c>
      <x:c r="G52" s="70" t="str">
        <x:v>NO</x:v>
      </x:c>
      <x:c r="H52" s="70" t="str"/>
      <x:c r="I52" s="108"/>
      <x:c r="J52" s="108" t="n">
        <x:f>IF(F52="","",IF(G52="NO",F52,IF(I52="","",F52+I52)))</x:f>
        <x:v>270</x:v>
      </x:c>
      <x:c r="K52" s="70" t="str">
        <x:v>R-SUN-PED</x:v>
      </x:c>
      <x:c r="L52" s="70" t="str">
        <x:v>AL_PREPARAR</x:v>
      </x:c>
      <x:c r="M52" s="70" t="str">
        <x:v>CONSUMO_INMEDIATO</x:v>
      </x:c>
      <x:c r="N52" s="70" t="str">
        <x:v>PREPARAR_AL_PEDIDO</x:v>
      </x:c>
      <x:c r="O52" s="70" t="str">
        <x:v>BORRADOR_TECNICO_V1</x:v>
      </x:c>
      <x:c r="P52" s="70" t="str">
        <x:v>NO_HASTA_VALIDAR</x:v>
      </x:c>
      <x:c r="Q52" s="70" t="str">
        <x:v>BOM fija por sabor. Validar prueba piloto, rendimiento, textura y empaque antes de aprobar.</x:v>
      </x:c>
      <x:c r="R52" s="114" t="n">
        <x:f>SUMIF(BOM!$A:$A,A52,BOM!$G:$G)</x:f>
        <x:v>0.27</x:v>
      </x:c>
      <x:c r="S52" s="71" t="str">
        <x:f>IF(F52="","SIN BOM APROBADO",IF(ABS(R52-F52/1000)&lt;0.0001,"OK","REVISAR"))</x:f>
        <x:v>OK</x:v>
      </x:c>
    </x:row>
    <x:row r="53">
      <x:c r="A53" s="69" t="str">
        <x:v>SUN-ORE-270</x:v>
      </x:c>
      <x:c r="B53" s="70" t="str">
        <x:v>Sundae MOMOS Oreo</x:v>
      </x:c>
      <x:c r="C53" s="70" t="str">
        <x:v>Sundae MOMOS</x:v>
      </x:c>
      <x:c r="D53" s="70" t="str">
        <x:v>Oreo</x:v>
      </x:c>
      <x:c r="E53" s="70" t="str">
        <x:v>Cremosa</x:v>
      </x:c>
      <x:c r="F53" s="102" t="n">
        <x:v>270</x:v>
      </x:c>
      <x:c r="G53" s="70" t="str">
        <x:v>NO</x:v>
      </x:c>
      <x:c r="H53" s="70" t="str"/>
      <x:c r="I53" s="108"/>
      <x:c r="J53" s="108" t="n">
        <x:f>IF(F53="","",IF(G53="NO",F53,IF(I53="","",F53+I53)))</x:f>
        <x:v>270</x:v>
      </x:c>
      <x:c r="K53" s="70" t="str">
        <x:v>R-SUN-PED</x:v>
      </x:c>
      <x:c r="L53" s="70" t="str">
        <x:v>AL_PREPARAR</x:v>
      </x:c>
      <x:c r="M53" s="70" t="str">
        <x:v>CONSUMO_INMEDIATO</x:v>
      </x:c>
      <x:c r="N53" s="70" t="str">
        <x:v>PREPARAR_AL_PEDIDO</x:v>
      </x:c>
      <x:c r="O53" s="70" t="str">
        <x:v>BORRADOR_TECNICO_V1</x:v>
      </x:c>
      <x:c r="P53" s="70" t="str">
        <x:v>NO_HASTA_VALIDAR</x:v>
      </x:c>
      <x:c r="Q53" s="70" t="str">
        <x:v>BOM fija por sabor. Validar prueba piloto, rendimiento, textura y empaque antes de aprobar.</x:v>
      </x:c>
      <x:c r="R53" s="114" t="n">
        <x:f>SUMIF(BOM!$A:$A,A53,BOM!$G:$G)</x:f>
        <x:v>0.27</x:v>
      </x:c>
      <x:c r="S53" s="71" t="str">
        <x:f>IF(F53="","SIN BOM APROBADO",IF(ABS(R53-F53/1000)&lt;0.0001,"OK","REVISAR"))</x:f>
        <x:v>OK</x:v>
      </x:c>
    </x:row>
    <x:row r="54">
      <x:c r="A54" s="69" t="str">
        <x:v>SUN-CSL-270</x:v>
      </x:c>
      <x:c r="B54" s="70" t="str">
        <x:v>Sundae MOMOS Caramelo salado</x:v>
      </x:c>
      <x:c r="C54" s="70" t="str">
        <x:v>Sundae MOMOS</x:v>
      </x:c>
      <x:c r="D54" s="70" t="str">
        <x:v>Caramelo salado</x:v>
      </x:c>
      <x:c r="E54" s="70" t="str">
        <x:v>Cremosa</x:v>
      </x:c>
      <x:c r="F54" s="102" t="n">
        <x:v>270</x:v>
      </x:c>
      <x:c r="G54" s="70" t="str">
        <x:v>NO</x:v>
      </x:c>
      <x:c r="H54" s="70" t="str"/>
      <x:c r="I54" s="108"/>
      <x:c r="J54" s="108" t="n">
        <x:f>IF(F54="","",IF(G54="NO",F54,IF(I54="","",F54+I54)))</x:f>
        <x:v>270</x:v>
      </x:c>
      <x:c r="K54" s="70" t="str">
        <x:v>R-SUN-PED</x:v>
      </x:c>
      <x:c r="L54" s="70" t="str">
        <x:v>AL_PREPARAR</x:v>
      </x:c>
      <x:c r="M54" s="70" t="str">
        <x:v>CONSUMO_INMEDIATO</x:v>
      </x:c>
      <x:c r="N54" s="70" t="str">
        <x:v>PREPARAR_AL_PEDIDO</x:v>
      </x:c>
      <x:c r="O54" s="70" t="str">
        <x:v>BORRADOR_TECNICO_V1</x:v>
      </x:c>
      <x:c r="P54" s="70" t="str">
        <x:v>NO_HASTA_VALIDAR</x:v>
      </x:c>
      <x:c r="Q54" s="70" t="str">
        <x:v>BOM fija por sabor. Validar prueba piloto, rendimiento, textura y empaque antes de aprobar.</x:v>
      </x:c>
      <x:c r="R54" s="114" t="n">
        <x:f>SUMIF(BOM!$A:$A,A54,BOM!$G:$G)</x:f>
        <x:v>0.27</x:v>
      </x:c>
      <x:c r="S54" s="71" t="str">
        <x:f>IF(F54="","SIN BOM APROBADO",IF(ABS(R54-F54/1000)&lt;0.0001,"OK","REVISAR"))</x:f>
        <x:v>OK</x:v>
      </x:c>
    </x:row>
    <x:row r="55">
      <x:c r="A55" s="69" t="str">
        <x:v>SUN-NUT-270</x:v>
      </x:c>
      <x:c r="B55" s="70" t="str">
        <x:v>Sundae MOMOS Nutella</x:v>
      </x:c>
      <x:c r="C55" s="70" t="str">
        <x:v>Sundae MOMOS</x:v>
      </x:c>
      <x:c r="D55" s="70" t="str">
        <x:v>Nutella</x:v>
      </x:c>
      <x:c r="E55" s="70" t="str">
        <x:v>Cremosa</x:v>
      </x:c>
      <x:c r="F55" s="102" t="n">
        <x:v>270</x:v>
      </x:c>
      <x:c r="G55" s="70" t="str">
        <x:v>NO</x:v>
      </x:c>
      <x:c r="H55" s="70" t="str"/>
      <x:c r="I55" s="108"/>
      <x:c r="J55" s="108" t="n">
        <x:f>IF(F55="","",IF(G55="NO",F55,IF(I55="","",F55+I55)))</x:f>
        <x:v>270</x:v>
      </x:c>
      <x:c r="K55" s="70" t="str">
        <x:v>R-SUN-PED</x:v>
      </x:c>
      <x:c r="L55" s="70" t="str">
        <x:v>AL_PREPARAR</x:v>
      </x:c>
      <x:c r="M55" s="70" t="str">
        <x:v>CONSUMO_INMEDIATO</x:v>
      </x:c>
      <x:c r="N55" s="70" t="str">
        <x:v>PREPARAR_AL_PEDIDO</x:v>
      </x:c>
      <x:c r="O55" s="70" t="str">
        <x:v>BORRADOR_TECNICO_V1</x:v>
      </x:c>
      <x:c r="P55" s="70" t="str">
        <x:v>NO_HASTA_VALIDAR</x:v>
      </x:c>
      <x:c r="Q55" s="70" t="str">
        <x:v>BOM fija por sabor. Validar prueba piloto, rendimiento, textura y empaque antes de aprobar.</x:v>
      </x:c>
      <x:c r="R55" s="114" t="n">
        <x:f>SUMIF(BOM!$A:$A,A55,BOM!$G:$G)</x:f>
        <x:v>0.27</x:v>
      </x:c>
      <x:c r="S55" s="71" t="str">
        <x:f>IF(F55="","SIN BOM APROBADO",IF(ABS(R55-F55/1000)&lt;0.0001,"OK","REVISAR"))</x:f>
        <x:v>OK</x:v>
      </x:c>
    </x:row>
    <x:row r="56">
      <x:c r="A56" s="69" t="str">
        <x:v>SUN-MIL-270</x:v>
      </x:c>
      <x:c r="B56" s="70" t="str">
        <x:v>Sundae MOMOS Milo</x:v>
      </x:c>
      <x:c r="C56" s="70" t="str">
        <x:v>Sundae MOMOS</x:v>
      </x:c>
      <x:c r="D56" s="70" t="str">
        <x:v>Milo</x:v>
      </x:c>
      <x:c r="E56" s="70" t="str">
        <x:v>Cremosa</x:v>
      </x:c>
      <x:c r="F56" s="102" t="n">
        <x:v>270</x:v>
      </x:c>
      <x:c r="G56" s="70" t="str">
        <x:v>NO</x:v>
      </x:c>
      <x:c r="H56" s="70" t="str"/>
      <x:c r="I56" s="108"/>
      <x:c r="J56" s="108" t="n">
        <x:f>IF(F56="","",IF(G56="NO",F56,IF(I56="","",F56+I56)))</x:f>
        <x:v>270</x:v>
      </x:c>
      <x:c r="K56" s="70" t="str">
        <x:v>R-SUN-PED</x:v>
      </x:c>
      <x:c r="L56" s="70" t="str">
        <x:v>AL_PREPARAR</x:v>
      </x:c>
      <x:c r="M56" s="70" t="str">
        <x:v>CONSUMO_INMEDIATO</x:v>
      </x:c>
      <x:c r="N56" s="70" t="str">
        <x:v>PREPARAR_AL_PEDIDO</x:v>
      </x:c>
      <x:c r="O56" s="70" t="str">
        <x:v>BORRADOR_TECNICO_V1</x:v>
      </x:c>
      <x:c r="P56" s="70" t="str">
        <x:v>NO_HASTA_VALIDAR</x:v>
      </x:c>
      <x:c r="Q56" s="70" t="str">
        <x:v>BOM fija por sabor. Validar prueba piloto, rendimiento, textura y empaque antes de aprobar.</x:v>
      </x:c>
      <x:c r="R56" s="114" t="n">
        <x:f>SUMIF(BOM!$A:$A,A56,BOM!$G:$G)</x:f>
        <x:v>0.27</x:v>
      </x:c>
      <x:c r="S56" s="71" t="str">
        <x:f>IF(F56="","SIN BOM APROBADO",IF(ABS(R56-F56/1000)&lt;0.0001,"OK","REVISAR"))</x:f>
        <x:v>OK</x:v>
      </x:c>
    </x:row>
    <x:row r="57">
      <x:c r="A57" s="69" t="str">
        <x:v>MAL-01-PEND</x:v>
      </x:c>
      <x:c r="B57" s="70" t="str">
        <x:v>Malteada MOMOS Banano</x:v>
      </x:c>
      <x:c r="C57" s="70" t="str">
        <x:v>Malteada MOMOS</x:v>
      </x:c>
      <x:c r="D57" s="70" t="str">
        <x:v>Banano</x:v>
      </x:c>
      <x:c r="E57" s="70" t="str">
        <x:v>Pendiente</x:v>
      </x:c>
      <x:c r="F57" s="102"/>
      <x:c r="G57" s="70" t="str">
        <x:v>NO_DEFINIDO</x:v>
      </x:c>
      <x:c r="H57" s="70" t="str"/>
      <x:c r="I57" s="108"/>
      <x:c r="J57" s="108" t="str">
        <x:f>IF(F57="","",IF(G57="NO",F57,IF(I57="","",F57+I57)))</x:f>
      </x:c>
      <x:c r="K57" s="70" t="str">
        <x:v>R-MAL-PED</x:v>
      </x:c>
      <x:c r="L57" s="70" t="str">
        <x:v>AL_PREPARAR</x:v>
      </x:c>
      <x:c r="M57" s="70" t="str">
        <x:v>CONSUMO_INMEDIATO</x:v>
      </x:c>
      <x:c r="N57" s="70" t="str">
        <x:v>PREPARAR_AL_PEDIDO</x:v>
      </x:c>
      <x:c r="O57" s="70" t="str">
        <x:v>PENDIENTE_FICHA_TECNICA</x:v>
      </x:c>
      <x:c r="P57" s="70" t="str">
        <x:v>NO</x:v>
      </x:c>
      <x:c r="Q57" s="70" t="str">
        <x:v>Definir tamaño comercial, leche por sabor y topping antes de sembrar BOM.</x:v>
      </x:c>
      <x:c r="R57" s="114" t="n">
        <x:f>SUMIF(BOM!$A:$A,A57,BOM!$G:$G)</x:f>
        <x:v>0</x:v>
      </x:c>
      <x:c r="S57" s="71" t="str">
        <x:f>IF(F57="","SIN BOM APROBADO",IF(ABS(R57-F57/1000)&lt;0.0001,"OK","REVISAR"))</x:f>
        <x:v>SIN BOM APROBADO</x:v>
      </x:c>
    </x:row>
    <x:row r="58">
      <x:c r="A58" s="69" t="str">
        <x:v>MAL-02-PEND</x:v>
      </x:c>
      <x:c r="B58" s="70" t="str">
        <x:v>Malteada MOMOS Coco</x:v>
      </x:c>
      <x:c r="C58" s="70" t="str">
        <x:v>Malteada MOMOS</x:v>
      </x:c>
      <x:c r="D58" s="70" t="str">
        <x:v>Coco</x:v>
      </x:c>
      <x:c r="E58" s="70" t="str">
        <x:v>Pendiente</x:v>
      </x:c>
      <x:c r="F58" s="102"/>
      <x:c r="G58" s="70" t="str">
        <x:v>NO_DEFINIDO</x:v>
      </x:c>
      <x:c r="H58" s="70" t="str"/>
      <x:c r="I58" s="108"/>
      <x:c r="J58" s="108" t="str">
        <x:f>IF(F58="","",IF(G58="NO",F58,IF(I58="","",F58+I58)))</x:f>
      </x:c>
      <x:c r="K58" s="70" t="str">
        <x:v>R-MAL-PED</x:v>
      </x:c>
      <x:c r="L58" s="70" t="str">
        <x:v>AL_PREPARAR</x:v>
      </x:c>
      <x:c r="M58" s="70" t="str">
        <x:v>CONSUMO_INMEDIATO</x:v>
      </x:c>
      <x:c r="N58" s="70" t="str">
        <x:v>PREPARAR_AL_PEDIDO</x:v>
      </x:c>
      <x:c r="O58" s="70" t="str">
        <x:v>PENDIENTE_FICHA_TECNICA</x:v>
      </x:c>
      <x:c r="P58" s="70" t="str">
        <x:v>NO</x:v>
      </x:c>
      <x:c r="Q58" s="70" t="str">
        <x:v>Definir tamaño comercial, leche por sabor y topping antes de sembrar BOM.</x:v>
      </x:c>
      <x:c r="R58" s="114" t="n">
        <x:f>SUMIF(BOM!$A:$A,A58,BOM!$G:$G)</x:f>
        <x:v>0</x:v>
      </x:c>
      <x:c r="S58" s="71" t="str">
        <x:f>IF(F58="","SIN BOM APROBADO",IF(ABS(R58-F58/1000)&lt;0.0001,"OK","REVISAR"))</x:f>
        <x:v>SIN BOM APROBADO</x:v>
      </x:c>
    </x:row>
    <x:row r="59">
      <x:c r="A59" s="69" t="str">
        <x:v>MAL-03-PEND</x:v>
      </x:c>
      <x:c r="B59" s="70" t="str">
        <x:v>Malteada MOMOS Durazno</x:v>
      </x:c>
      <x:c r="C59" s="70" t="str">
        <x:v>Malteada MOMOS</x:v>
      </x:c>
      <x:c r="D59" s="70" t="str">
        <x:v>Durazno</x:v>
      </x:c>
      <x:c r="E59" s="70" t="str">
        <x:v>Pendiente</x:v>
      </x:c>
      <x:c r="F59" s="102"/>
      <x:c r="G59" s="70" t="str">
        <x:v>NO_DEFINIDO</x:v>
      </x:c>
      <x:c r="H59" s="70" t="str"/>
      <x:c r="I59" s="108"/>
      <x:c r="J59" s="108" t="str">
        <x:f>IF(F59="","",IF(G59="NO",F59,IF(I59="","",F59+I59)))</x:f>
      </x:c>
      <x:c r="K59" s="70" t="str">
        <x:v>R-MAL-PED</x:v>
      </x:c>
      <x:c r="L59" s="70" t="str">
        <x:v>AL_PREPARAR</x:v>
      </x:c>
      <x:c r="M59" s="70" t="str">
        <x:v>CONSUMO_INMEDIATO</x:v>
      </x:c>
      <x:c r="N59" s="70" t="str">
        <x:v>PREPARAR_AL_PEDIDO</x:v>
      </x:c>
      <x:c r="O59" s="70" t="str">
        <x:v>PENDIENTE_FICHA_TECNICA</x:v>
      </x:c>
      <x:c r="P59" s="70" t="str">
        <x:v>NO</x:v>
      </x:c>
      <x:c r="Q59" s="70" t="str">
        <x:v>Definir tamaño comercial, leche por sabor y topping antes de sembrar BOM.</x:v>
      </x:c>
      <x:c r="R59" s="114" t="n">
        <x:f>SUMIF(BOM!$A:$A,A59,BOM!$G:$G)</x:f>
        <x:v>0</x:v>
      </x:c>
      <x:c r="S59" s="71" t="str">
        <x:f>IF(F59="","SIN BOM APROBADO",IF(ABS(R59-F59/1000)&lt;0.0001,"OK","REVISAR"))</x:f>
        <x:v>SIN BOM APROBADO</x:v>
      </x:c>
    </x:row>
    <x:row r="60">
      <x:c r="A60" s="69" t="str">
        <x:v>MAL-04-PEND</x:v>
      </x:c>
      <x:c r="B60" s="70" t="str">
        <x:v>Malteada MOMOS M&amp;M</x:v>
      </x:c>
      <x:c r="C60" s="70" t="str">
        <x:v>Malteada MOMOS</x:v>
      </x:c>
      <x:c r="D60" s="70" t="str">
        <x:v>M&amp;M</x:v>
      </x:c>
      <x:c r="E60" s="70" t="str">
        <x:v>Pendiente</x:v>
      </x:c>
      <x:c r="F60" s="102"/>
      <x:c r="G60" s="70" t="str">
        <x:v>NO_DEFINIDO</x:v>
      </x:c>
      <x:c r="H60" s="70" t="str"/>
      <x:c r="I60" s="108"/>
      <x:c r="J60" s="108" t="str">
        <x:f>IF(F60="","",IF(G60="NO",F60,IF(I60="","",F60+I60)))</x:f>
      </x:c>
      <x:c r="K60" s="70" t="str">
        <x:v>R-MAL-PED</x:v>
      </x:c>
      <x:c r="L60" s="70" t="str">
        <x:v>AL_PREPARAR</x:v>
      </x:c>
      <x:c r="M60" s="70" t="str">
        <x:v>CONSUMO_INMEDIATO</x:v>
      </x:c>
      <x:c r="N60" s="70" t="str">
        <x:v>PREPARAR_AL_PEDIDO</x:v>
      </x:c>
      <x:c r="O60" s="70" t="str">
        <x:v>PENDIENTE_FICHA_TECNICA</x:v>
      </x:c>
      <x:c r="P60" s="70" t="str">
        <x:v>NO</x:v>
      </x:c>
      <x:c r="Q60" s="70" t="str">
        <x:v>Definir tamaño comercial, leche por sabor y topping antes de sembrar BOM.</x:v>
      </x:c>
      <x:c r="R60" s="114" t="n">
        <x:f>SUMIF(BOM!$A:$A,A60,BOM!$G:$G)</x:f>
        <x:v>0</x:v>
      </x:c>
      <x:c r="S60" s="71" t="str">
        <x:f>IF(F60="","SIN BOM APROBADO",IF(ABS(R60-F60/1000)&lt;0.0001,"OK","REVISAR"))</x:f>
        <x:v>SIN BOM APROBADO</x:v>
      </x:c>
    </x:row>
    <x:row r="61">
      <x:c r="A61" s="69" t="str">
        <x:v>MAL-05-PEND</x:v>
      </x:c>
      <x:c r="B61" s="70" t="str">
        <x:v>Malteada MOMOS Oreo</x:v>
      </x:c>
      <x:c r="C61" s="70" t="str">
        <x:v>Malteada MOMOS</x:v>
      </x:c>
      <x:c r="D61" s="70" t="str">
        <x:v>Oreo</x:v>
      </x:c>
      <x:c r="E61" s="70" t="str">
        <x:v>Pendiente</x:v>
      </x:c>
      <x:c r="F61" s="102"/>
      <x:c r="G61" s="70" t="str">
        <x:v>NO_DEFINIDO</x:v>
      </x:c>
      <x:c r="H61" s="70" t="str"/>
      <x:c r="I61" s="108"/>
      <x:c r="J61" s="108" t="str">
        <x:f>IF(F61="","",IF(G61="NO",F61,IF(I61="","",F61+I61)))</x:f>
      </x:c>
      <x:c r="K61" s="70" t="str">
        <x:v>R-MAL-PED</x:v>
      </x:c>
      <x:c r="L61" s="70" t="str">
        <x:v>AL_PREPARAR</x:v>
      </x:c>
      <x:c r="M61" s="70" t="str">
        <x:v>CONSUMO_INMEDIATO</x:v>
      </x:c>
      <x:c r="N61" s="70" t="str">
        <x:v>PREPARAR_AL_PEDIDO</x:v>
      </x:c>
      <x:c r="O61" s="70" t="str">
        <x:v>PENDIENTE_FICHA_TECNICA</x:v>
      </x:c>
      <x:c r="P61" s="70" t="str">
        <x:v>NO</x:v>
      </x:c>
      <x:c r="Q61" s="70" t="str">
        <x:v>Definir tamaño comercial, leche por sabor y topping antes de sembrar BOM.</x:v>
      </x:c>
      <x:c r="R61" s="114" t="n">
        <x:f>SUMIF(BOM!$A:$A,A61,BOM!$G:$G)</x:f>
        <x:v>0</x:v>
      </x:c>
      <x:c r="S61" s="71" t="str">
        <x:f>IF(F61="","SIN BOM APROBADO",IF(ABS(R61-F61/1000)&lt;0.0001,"OK","REVISAR"))</x:f>
        <x:v>SIN BOM APROBADO</x:v>
      </x:c>
    </x:row>
    <x:row r="62">
      <x:c r="A62" s="69" t="str">
        <x:v>MAL-06-PEND</x:v>
      </x:c>
      <x:c r="B62" s="70" t="str">
        <x:v>Malteada MOMOS Caramelo salado</x:v>
      </x:c>
      <x:c r="C62" s="70" t="str">
        <x:v>Malteada MOMOS</x:v>
      </x:c>
      <x:c r="D62" s="70" t="str">
        <x:v>Caramelo salado</x:v>
      </x:c>
      <x:c r="E62" s="70" t="str">
        <x:v>Pendiente</x:v>
      </x:c>
      <x:c r="F62" s="102"/>
      <x:c r="G62" s="70" t="str">
        <x:v>NO_DEFINIDO</x:v>
      </x:c>
      <x:c r="H62" s="70" t="str"/>
      <x:c r="I62" s="108"/>
      <x:c r="J62" s="108" t="str">
        <x:f>IF(F62="","",IF(G62="NO",F62,IF(I62="","",F62+I62)))</x:f>
      </x:c>
      <x:c r="K62" s="70" t="str">
        <x:v>R-MAL-PED</x:v>
      </x:c>
      <x:c r="L62" s="70" t="str">
        <x:v>AL_PREPARAR</x:v>
      </x:c>
      <x:c r="M62" s="70" t="str">
        <x:v>CONSUMO_INMEDIATO</x:v>
      </x:c>
      <x:c r="N62" s="70" t="str">
        <x:v>PREPARAR_AL_PEDIDO</x:v>
      </x:c>
      <x:c r="O62" s="70" t="str">
        <x:v>PENDIENTE_FICHA_TECNICA</x:v>
      </x:c>
      <x:c r="P62" s="70" t="str">
        <x:v>NO</x:v>
      </x:c>
      <x:c r="Q62" s="70" t="str">
        <x:v>Definir tamaño comercial, leche por sabor y topping antes de sembrar BOM.</x:v>
      </x:c>
      <x:c r="R62" s="114" t="n">
        <x:f>SUMIF(BOM!$A:$A,A62,BOM!$G:$G)</x:f>
        <x:v>0</x:v>
      </x:c>
      <x:c r="S62" s="71" t="str">
        <x:f>IF(F62="","SIN BOM APROBADO",IF(ABS(R62-F62/1000)&lt;0.0001,"OK","REVISAR"))</x:f>
        <x:v>SIN BOM APROBADO</x:v>
      </x:c>
    </x:row>
    <x:row r="63">
      <x:c r="A63" s="69" t="str">
        <x:v>MAL-07-PEND</x:v>
      </x:c>
      <x:c r="B63" s="70" t="str">
        <x:v>Malteada MOMOS Nutella</x:v>
      </x:c>
      <x:c r="C63" s="70" t="str">
        <x:v>Malteada MOMOS</x:v>
      </x:c>
      <x:c r="D63" s="70" t="str">
        <x:v>Nutella</x:v>
      </x:c>
      <x:c r="E63" s="70" t="str">
        <x:v>Pendiente</x:v>
      </x:c>
      <x:c r="F63" s="102"/>
      <x:c r="G63" s="70" t="str">
        <x:v>NO_DEFINIDO</x:v>
      </x:c>
      <x:c r="H63" s="70" t="str"/>
      <x:c r="I63" s="108"/>
      <x:c r="J63" s="108" t="str">
        <x:f>IF(F63="","",IF(G63="NO",F63,IF(I63="","",F63+I63)))</x:f>
      </x:c>
      <x:c r="K63" s="70" t="str">
        <x:v>R-MAL-PED</x:v>
      </x:c>
      <x:c r="L63" s="70" t="str">
        <x:v>AL_PREPARAR</x:v>
      </x:c>
      <x:c r="M63" s="70" t="str">
        <x:v>CONSUMO_INMEDIATO</x:v>
      </x:c>
      <x:c r="N63" s="70" t="str">
        <x:v>PREPARAR_AL_PEDIDO</x:v>
      </x:c>
      <x:c r="O63" s="70" t="str">
        <x:v>PENDIENTE_FICHA_TECNICA</x:v>
      </x:c>
      <x:c r="P63" s="70" t="str">
        <x:v>NO</x:v>
      </x:c>
      <x:c r="Q63" s="70" t="str">
        <x:v>Definir tamaño comercial, leche por sabor y topping antes de sembrar BOM.</x:v>
      </x:c>
      <x:c r="R63" s="114" t="n">
        <x:f>SUMIF(BOM!$A:$A,A63,BOM!$G:$G)</x:f>
        <x:v>0</x:v>
      </x:c>
      <x:c r="S63" s="71" t="str">
        <x:f>IF(F63="","SIN BOM APROBADO",IF(ABS(R63-F63/1000)&lt;0.0001,"OK","REVISAR"))</x:f>
        <x:v>SIN BOM APROBADO</x:v>
      </x:c>
    </x:row>
    <x:row r="64">
      <x:c r="A64" s="69" t="str">
        <x:v>MAL-08-PEND</x:v>
      </x:c>
      <x:c r="B64" s="70" t="str">
        <x:v>Malteada MOMOS Milo</x:v>
      </x:c>
      <x:c r="C64" s="70" t="str">
        <x:v>Malteada MOMOS</x:v>
      </x:c>
      <x:c r="D64" s="70" t="str">
        <x:v>Milo</x:v>
      </x:c>
      <x:c r="E64" s="70" t="str">
        <x:v>Pendiente</x:v>
      </x:c>
      <x:c r="F64" s="102"/>
      <x:c r="G64" s="70" t="str">
        <x:v>NO_DEFINIDO</x:v>
      </x:c>
      <x:c r="H64" s="70" t="str"/>
      <x:c r="I64" s="108"/>
      <x:c r="J64" s="108" t="str">
        <x:f>IF(F64="","",IF(G64="NO",F64,IF(I64="","",F64+I64)))</x:f>
      </x:c>
      <x:c r="K64" s="70" t="str">
        <x:v>R-MAL-PED</x:v>
      </x:c>
      <x:c r="L64" s="70" t="str">
        <x:v>AL_PREPARAR</x:v>
      </x:c>
      <x:c r="M64" s="70" t="str">
        <x:v>CONSUMO_INMEDIATO</x:v>
      </x:c>
      <x:c r="N64" s="70" t="str">
        <x:v>PREPARAR_AL_PEDIDO</x:v>
      </x:c>
      <x:c r="O64" s="70" t="str">
        <x:v>PENDIENTE_FICHA_TECNICA</x:v>
      </x:c>
      <x:c r="P64" s="70" t="str">
        <x:v>NO</x:v>
      </x:c>
      <x:c r="Q64" s="70" t="str">
        <x:v>Definir tamaño comercial, leche por sabor y topping antes de sembrar BOM.</x:v>
      </x:c>
      <x:c r="R64" s="114" t="n">
        <x:f>SUMIF(BOM!$A:$A,A64,BOM!$G:$G)</x:f>
        <x:v>0</x:v>
      </x:c>
      <x:c r="S64" s="71" t="str">
        <x:f>IF(F64="","SIN BOM APROBADO",IF(ABS(R64-F64/1000)&lt;0.0001,"OK","REVISAR"))</x:f>
        <x:v>SIN BOM APROBADO</x:v>
      </x:c>
    </x:row>
    <x:row r="65">
      <x:c r="A65" s="69" t="str">
        <x:v>CRZ-01-PEND</x:v>
      </x:c>
      <x:c r="B65" s="70" t="str">
        <x:v>Crazy Rush Mango biche chamoy</x:v>
      </x:c>
      <x:c r="C65" s="70" t="str">
        <x:v>Crazy Rush</x:v>
      </x:c>
      <x:c r="D65" s="70" t="str">
        <x:v>Mango biche chamoy</x:v>
      </x:c>
      <x:c r="E65" s="70" t="str">
        <x:v>Pendiente</x:v>
      </x:c>
      <x:c r="F65" s="102"/>
      <x:c r="G65" s="70" t="str">
        <x:v>NO_DEFINIDO</x:v>
      </x:c>
      <x:c r="H65" s="70" t="str"/>
      <x:c r="I65" s="108"/>
      <x:c r="J65" s="108" t="str">
        <x:f>IF(F65="","",IF(G65="NO",F65,IF(I65="","",F65+I65)))</x:f>
      </x:c>
      <x:c r="K65" s="70" t="str">
        <x:v>R-CRZ-PED</x:v>
      </x:c>
      <x:c r="L65" s="70" t="str">
        <x:v>AL_PREPARAR</x:v>
      </x:c>
      <x:c r="M65" s="70" t="str">
        <x:v>CONSUMO_INMEDIATO</x:v>
      </x:c>
      <x:c r="N65" s="70" t="str">
        <x:v>PREPARAR_AL_PEDIDO</x:v>
      </x:c>
      <x:c r="O65" s="70" t="str">
        <x:v>PENDIENTE_FICHA_TECNICA</x:v>
      </x:c>
      <x:c r="P65" s="70" t="str">
        <x:v>NO</x:v>
      </x:c>
      <x:c r="Q65" s="70" t="str">
        <x:v>Definir fórmula final por sabor, tamaño de vaso y gramaje de fruta macerada.</x:v>
      </x:c>
      <x:c r="R65" s="114" t="n">
        <x:f>SUMIF(BOM!$A:$A,A65,BOM!$G:$G)</x:f>
        <x:v>0</x:v>
      </x:c>
      <x:c r="S65" s="71" t="str">
        <x:f>IF(F65="","SIN BOM APROBADO",IF(ABS(R65-F65/1000)&lt;0.0001,"OK","REVISAR"))</x:f>
        <x:v>SIN BOM APROBADO</x:v>
      </x:c>
    </x:row>
    <x:row r="66">
      <x:c r="A66" s="69" t="str">
        <x:v>CRZ-02-PEND</x:v>
      </x:c>
      <x:c r="B66" s="70" t="str">
        <x:v>Crazy Rush Manzana verde chamoy</x:v>
      </x:c>
      <x:c r="C66" s="70" t="str">
        <x:v>Crazy Rush</x:v>
      </x:c>
      <x:c r="D66" s="70" t="str">
        <x:v>Manzana verde chamoy</x:v>
      </x:c>
      <x:c r="E66" s="70" t="str">
        <x:v>Pendiente</x:v>
      </x:c>
      <x:c r="F66" s="102"/>
      <x:c r="G66" s="70" t="str">
        <x:v>NO_DEFINIDO</x:v>
      </x:c>
      <x:c r="H66" s="70" t="str"/>
      <x:c r="I66" s="108"/>
      <x:c r="J66" s="108" t="str">
        <x:f>IF(F66="","",IF(G66="NO",F66,IF(I66="","",F66+I66)))</x:f>
      </x:c>
      <x:c r="K66" s="70" t="str">
        <x:v>R-CRZ-PED</x:v>
      </x:c>
      <x:c r="L66" s="70" t="str">
        <x:v>AL_PREPARAR</x:v>
      </x:c>
      <x:c r="M66" s="70" t="str">
        <x:v>CONSUMO_INMEDIATO</x:v>
      </x:c>
      <x:c r="N66" s="70" t="str">
        <x:v>PREPARAR_AL_PEDIDO</x:v>
      </x:c>
      <x:c r="O66" s="70" t="str">
        <x:v>PENDIENTE_FICHA_TECNICA</x:v>
      </x:c>
      <x:c r="P66" s="70" t="str">
        <x:v>NO</x:v>
      </x:c>
      <x:c r="Q66" s="70" t="str">
        <x:v>Definir fórmula final por sabor, tamaño de vaso y gramaje de fruta macerada.</x:v>
      </x:c>
      <x:c r="R66" s="114" t="n">
        <x:f>SUMIF(BOM!$A:$A,A66,BOM!$G:$G)</x:f>
        <x:v>0</x:v>
      </x:c>
      <x:c r="S66" s="71" t="str">
        <x:f>IF(F66="","SIN BOM APROBADO",IF(ABS(R66-F66/1000)&lt;0.0001,"OK","REVISAR"))</x:f>
        <x:v>SIN BOM APROBADO</x:v>
      </x:c>
    </x:row>
    <x:row r="67">
      <x:c r="A67" s="69" t="str">
        <x:v>CRZ-03-PEND</x:v>
      </x:c>
      <x:c r="B67" s="70" t="str">
        <x:v>Crazy Rush Fresa chamoy</x:v>
      </x:c>
      <x:c r="C67" s="70" t="str">
        <x:v>Crazy Rush</x:v>
      </x:c>
      <x:c r="D67" s="70" t="str">
        <x:v>Fresa chamoy</x:v>
      </x:c>
      <x:c r="E67" s="70" t="str">
        <x:v>Pendiente</x:v>
      </x:c>
      <x:c r="F67" s="102"/>
      <x:c r="G67" s="70" t="str">
        <x:v>NO_DEFINIDO</x:v>
      </x:c>
      <x:c r="H67" s="70" t="str"/>
      <x:c r="I67" s="108"/>
      <x:c r="J67" s="108" t="str">
        <x:f>IF(F67="","",IF(G67="NO",F67,IF(I67="","",F67+I67)))</x:f>
      </x:c>
      <x:c r="K67" s="70" t="str">
        <x:v>R-CRZ-PED</x:v>
      </x:c>
      <x:c r="L67" s="70" t="str">
        <x:v>AL_PREPARAR</x:v>
      </x:c>
      <x:c r="M67" s="70" t="str">
        <x:v>CONSUMO_INMEDIATO</x:v>
      </x:c>
      <x:c r="N67" s="70" t="str">
        <x:v>PREPARAR_AL_PEDIDO</x:v>
      </x:c>
      <x:c r="O67" s="70" t="str">
        <x:v>PENDIENTE_FICHA_TECNICA</x:v>
      </x:c>
      <x:c r="P67" s="70" t="str">
        <x:v>NO</x:v>
      </x:c>
      <x:c r="Q67" s="70" t="str">
        <x:v>Definir fórmula final por sabor, tamaño de vaso y gramaje de fruta macerada.</x:v>
      </x:c>
      <x:c r="R67" s="114" t="n">
        <x:f>SUMIF(BOM!$A:$A,A67,BOM!$G:$G)</x:f>
        <x:v>0</x:v>
      </x:c>
      <x:c r="S67" s="71" t="str">
        <x:f>IF(F67="","SIN BOM APROBADO",IF(ABS(R67-F67/1000)&lt;0.0001,"OK","REVISAR"))</x:f>
        <x:v>SIN BOM APROBADO</x:v>
      </x:c>
    </x:row>
    <x:row r="68">
      <x:c r="A68" s="69" t="str">
        <x:v>CRZ-04-PEND</x:v>
      </x:c>
      <x:c r="B68" s="70" t="str">
        <x:v>Crazy Rush Piña-mango</x:v>
      </x:c>
      <x:c r="C68" s="70" t="str">
        <x:v>Crazy Rush</x:v>
      </x:c>
      <x:c r="D68" s="70" t="str">
        <x:v>Piña-mango</x:v>
      </x:c>
      <x:c r="E68" s="70" t="str">
        <x:v>Pendiente</x:v>
      </x:c>
      <x:c r="F68" s="102"/>
      <x:c r="G68" s="70" t="str">
        <x:v>NO_DEFINIDO</x:v>
      </x:c>
      <x:c r="H68" s="70" t="str"/>
      <x:c r="I68" s="108"/>
      <x:c r="J68" s="108" t="str">
        <x:f>IF(F68="","",IF(G68="NO",F68,IF(I68="","",F68+I68)))</x:f>
      </x:c>
      <x:c r="K68" s="70" t="str">
        <x:v>R-CRZ-PED</x:v>
      </x:c>
      <x:c r="L68" s="70" t="str">
        <x:v>AL_PREPARAR</x:v>
      </x:c>
      <x:c r="M68" s="70" t="str">
        <x:v>CONSUMO_INMEDIATO</x:v>
      </x:c>
      <x:c r="N68" s="70" t="str">
        <x:v>PREPARAR_AL_PEDIDO</x:v>
      </x:c>
      <x:c r="O68" s="70" t="str">
        <x:v>PENDIENTE_FICHA_TECNICA</x:v>
      </x:c>
      <x:c r="P68" s="70" t="str">
        <x:v>NO</x:v>
      </x:c>
      <x:c r="Q68" s="70" t="str">
        <x:v>Definir fórmula final por sabor, tamaño de vaso y gramaje de fruta macerada.</x:v>
      </x:c>
      <x:c r="R68" s="114" t="n">
        <x:f>SUMIF(BOM!$A:$A,A68,BOM!$G:$G)</x:f>
        <x:v>0</x:v>
      </x:c>
      <x:c r="S68" s="71" t="str">
        <x:f>IF(F68="","SIN BOM APROBADO",IF(ABS(R68-F68/1000)&lt;0.0001,"OK","REVISAR"))</x:f>
        <x:v>SIN BOM APROBADO</x:v>
      </x:c>
    </x:row>
    <x:row r="69">
      <x:c r="A69" s="69" t="str">
        <x:v>CRZ-05-PEND</x:v>
      </x:c>
      <x:c r="B69" s="70" t="str">
        <x:v>Crazy Rush Maracuyá</x:v>
      </x:c>
      <x:c r="C69" s="70" t="str">
        <x:v>Crazy Rush</x:v>
      </x:c>
      <x:c r="D69" s="70" t="str">
        <x:v>Maracuyá</x:v>
      </x:c>
      <x:c r="E69" s="70" t="str">
        <x:v>Pendiente</x:v>
      </x:c>
      <x:c r="F69" s="102"/>
      <x:c r="G69" s="70" t="str">
        <x:v>NO_DEFINIDO</x:v>
      </x:c>
      <x:c r="H69" s="70" t="str"/>
      <x:c r="I69" s="108"/>
      <x:c r="J69" s="108" t="str">
        <x:f>IF(F69="","",IF(G69="NO",F69,IF(I69="","",F69+I69)))</x:f>
      </x:c>
      <x:c r="K69" s="70" t="str">
        <x:v>R-CRZ-PED</x:v>
      </x:c>
      <x:c r="L69" s="70" t="str">
        <x:v>AL_PREPARAR</x:v>
      </x:c>
      <x:c r="M69" s="70" t="str">
        <x:v>CONSUMO_INMEDIATO</x:v>
      </x:c>
      <x:c r="N69" s="70" t="str">
        <x:v>PREPARAR_AL_PEDIDO</x:v>
      </x:c>
      <x:c r="O69" s="70" t="str">
        <x:v>PENDIENTE_FICHA_TECNICA</x:v>
      </x:c>
      <x:c r="P69" s="70" t="str">
        <x:v>NO</x:v>
      </x:c>
      <x:c r="Q69" s="70" t="str">
        <x:v>Definir fórmula final por sabor, tamaño de vaso y gramaje de fruta macerada.</x:v>
      </x:c>
      <x:c r="R69" s="114" t="n">
        <x:f>SUMIF(BOM!$A:$A,A69,BOM!$G:$G)</x:f>
        <x:v>0</x:v>
      </x:c>
      <x:c r="S69" s="71" t="str">
        <x:f>IF(F69="","SIN BOM APROBADO",IF(ABS(R69-F69/1000)&lt;0.0001,"OK","REVISAR"))</x:f>
        <x:v>SIN BOM APROBADO</x:v>
      </x:c>
    </x:row>
    <x:row r="70">
      <x:c r="A70" s="72" t="str">
        <x:v>YGB-01-PEND</x:v>
      </x:c>
      <x:c r="B70" s="73" t="str">
        <x:v>Yogurt Bites Base frutal</x:v>
      </x:c>
      <x:c r="C70" s="73" t="str">
        <x:v>Yogurt Bites</x:v>
      </x:c>
      <x:c r="D70" s="73" t="str">
        <x:v>Base frutal</x:v>
      </x:c>
      <x:c r="E70" s="73" t="str">
        <x:v>Pendiente</x:v>
      </x:c>
      <x:c r="F70" s="103"/>
      <x:c r="G70" s="73" t="str">
        <x:v>NO_DEFINIDO</x:v>
      </x:c>
      <x:c r="H70" s="73" t="str"/>
      <x:c r="I70" s="109"/>
      <x:c r="J70" s="109" t="str">
        <x:f>IF(F70="","",IF(G70="NO",F70,IF(I70="","",F70+I70)))</x:f>
      </x:c>
      <x:c r="K70" s="73" t="str">
        <x:v>R-YGB-CONG</x:v>
      </x:c>
      <x:c r="L70" s="73" t="str">
        <x:v>AL_FABRICAR</x:v>
      </x:c>
      <x:c r="M70" s="73" t="str">
        <x:v>CONGELADO</x:v>
      </x:c>
      <x:c r="N70" s="73" t="str">
        <x:v>PRODUCIR_PARA_STOCK</x:v>
      </x:c>
      <x:c r="O70" s="73" t="str">
        <x:v>PENDIENTE_FICHA_TECNICA</x:v>
      </x:c>
      <x:c r="P70" s="73" t="str">
        <x:v>NO</x:v>
      </x:c>
      <x:c r="Q70" s="73" t="str">
        <x:v>Receta y peso por empaque todavía en prueba.</x:v>
      </x:c>
      <x:c r="R70" s="115" t="n">
        <x:f>SUMIF(BOM!$A:$A,A70,BOM!$G:$G)</x:f>
        <x:v>0</x:v>
      </x:c>
      <x:c r="S70" s="74" t="str">
        <x:f>IF(F70="","SIN BOM APROBADO",IF(ABS(R70-F70/1000)&lt;0.0001,"OK","REVISAR"))</x:f>
        <x:v>SIN BOM APROBADO</x:v>
      </x:c>
    </x:row>
  </x:sheetData>
  <x:conditionalFormatting sqref="S2:S70">
    <x:cfRule type="expression" dxfId="0" priority="1">
      <x:formula>S2="REVISAR"</x:formula>
    </x:cfRule>
    <x:cfRule type="expression" dxfId="1" priority="2">
      <x:formula>S2="OK"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1c13df956a4b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30" hidden="0" customWidth="1"/>
    <x:col min="5" max="5" width="12" hidden="0" customWidth="1"/>
    <x:col min="6" max="6" width="10" hidden="0" customWidth="1"/>
    <x:col min="7" max="7" width="12" hidden="0" customWidth="1"/>
    <x:col min="8" max="8" width="20" hidden="0" customWidth="1"/>
    <x:col min="9" max="9" width="12" hidden="0" customWidth="1"/>
    <x:col min="10" max="10" width="18" hidden="0" customWidth="1"/>
    <x:col min="11" max="11" width="48" hidden="0" customWidth="1"/>
  </x:cols>
  <x:sheetData>
    <x:row r="1">
      <x:c r="A1" s="42" t="str">
        <x:v>SKU</x:v>
      </x:c>
      <x:c r="B1" s="42" t="str">
        <x:v>Producto</x:v>
      </x:c>
      <x:c r="C1" s="42" t="str">
        <x:v>Código componente</x:v>
      </x:c>
      <x:c r="D1" s="42" t="str">
        <x:v>Componente</x:v>
      </x:c>
      <x:c r="E1" s="42" t="str">
        <x:v>Cantidad</x:v>
      </x:c>
      <x:c r="F1" s="42" t="str">
        <x:v>Unidad</x:v>
      </x:c>
      <x:c r="G1" s="42" t="str">
        <x:v>Cantidad kg</x:v>
      </x:c>
      <x:c r="H1" s="42" t="str">
        <x:v>Tipo componente</x:v>
      </x:c>
      <x:c r="I1" s="42" t="str">
        <x:v>Obligatorio</x:v>
      </x:c>
      <x:c r="J1" s="42" t="str">
        <x:v>Momento descuento</x:v>
      </x:c>
      <x:c r="K1" s="42" t="str">
        <x:v>Nota</x:v>
      </x:c>
    </x:row>
    <x:row r="2">
      <x:c r="A2" s="66" t="str">
        <x:v>MCK-MBI-270</x:v>
      </x:c>
      <x:c r="B2" s="67" t="str">
        <x:v>Momo Cake Mango biche</x:v>
      </x:c>
      <x:c r="C2" s="67" t="str">
        <x:v>BASE-CROCANTE-NEUTRO</x:v>
      </x:c>
      <x:c r="D2" s="67" t="str">
        <x:v>Base crocante</x:v>
      </x:c>
      <x:c r="E2" s="113" t="n">
        <x:v>0.04</x:v>
      </x:c>
      <x:c r="F2" s="113" t="str">
        <x:v>kg</x:v>
      </x:c>
      <x:c r="G2" s="113" t="n">
        <x:v>0.04</x:v>
      </x:c>
      <x:c r="H2" s="67" t="str">
        <x:v>SUBRECETA</x:v>
      </x:c>
      <x:c r="I2" s="67" t="str">
        <x:v>SI</x:v>
      </x:c>
      <x:c r="J2" s="67" t="str">
        <x:v>AL_ENSAMBLAR</x:v>
      </x:c>
      <x:c r="K2" s="68" t="str"/>
    </x:row>
    <x:row r="3">
      <x:c r="A3" s="69" t="str">
        <x:v>MCK-MBI-270</x:v>
      </x:c>
      <x:c r="B3" s="70" t="str">
        <x:v>Momo Cake Mango biche</x:v>
      </x:c>
      <x:c r="C3" s="70" t="str">
        <x:v>BASE-MOUSSE-MANGO-BICHE</x:v>
      </x:c>
      <x:c r="D3" s="70" t="str">
        <x:v>Mousse Mango biche</x:v>
      </x:c>
      <x:c r="E3" s="114" t="n">
        <x:v>0.14</x:v>
      </x:c>
      <x:c r="F3" s="114" t="str">
        <x:v>kg</x:v>
      </x:c>
      <x:c r="G3" s="114" t="n">
        <x:v>0.14</x:v>
      </x:c>
      <x:c r="H3" s="70" t="str">
        <x:v>SUBRECETA</x:v>
      </x:c>
      <x:c r="I3" s="70" t="str">
        <x:v>SI</x:v>
      </x:c>
      <x:c r="J3" s="70" t="str">
        <x:v>AL_ENSAMBLAR</x:v>
      </x:c>
      <x:c r="K3" s="71" t="str"/>
    </x:row>
    <x:row r="4">
      <x:c r="A4" s="69" t="str">
        <x:v>MCK-MBI-270</x:v>
      </x:c>
      <x:c r="B4" s="70" t="str">
        <x:v>Momo Cake Mango biche</x:v>
      </x:c>
      <x:c r="C4" s="70" t="str">
        <x:v>BASE-CHEESECAKE-NEUTRO</x:v>
      </x:c>
      <x:c r="D4" s="70" t="str">
        <x:v>Cheesecake neutro</x:v>
      </x:c>
      <x:c r="E4" s="114" t="n">
        <x:v>0.06</x:v>
      </x:c>
      <x:c r="F4" s="114" t="str">
        <x:v>kg</x:v>
      </x:c>
      <x:c r="G4" s="114" t="n">
        <x:v>0.06</x:v>
      </x:c>
      <x:c r="H4" s="70" t="str">
        <x:v>SUBRECETA</x:v>
      </x:c>
      <x:c r="I4" s="70" t="str">
        <x:v>SI</x:v>
      </x:c>
      <x:c r="J4" s="70" t="str">
        <x:v>AL_ENSAMBLAR</x:v>
      </x:c>
      <x:c r="K4" s="71" t="str">
        <x:v>En sabores frutales reemplaza la ganache para evitar exceso de chocolate.</x:v>
      </x:c>
    </x:row>
    <x:row r="5">
      <x:c r="A5" s="69" t="str">
        <x:v>MCK-MBI-270</x:v>
      </x:c>
      <x:c r="B5" s="70" t="str">
        <x:v>Momo Cake Mango biche</x:v>
      </x:c>
      <x:c r="C5" s="70" t="str">
        <x:v>BASE-SALSA-MANGO-BICHE</x:v>
      </x:c>
      <x:c r="D5" s="70" t="str">
        <x:v>Salsa/cobertura Mango biche</x:v>
      </x:c>
      <x:c r="E5" s="114" t="n">
        <x:v>0.02</x:v>
      </x:c>
      <x:c r="F5" s="114" t="str">
        <x:v>kg</x:v>
      </x:c>
      <x:c r="G5" s="114" t="n">
        <x:v>0.02</x:v>
      </x:c>
      <x:c r="H5" s="70" t="str">
        <x:v>SUBRECETA</x:v>
      </x:c>
      <x:c r="I5" s="70" t="str">
        <x:v>SI</x:v>
      </x:c>
      <x:c r="J5" s="70" t="str">
        <x:v>AL_ENSAMBLAR</x:v>
      </x:c>
      <x:c r="K5" s="71" t="str"/>
    </x:row>
    <x:row r="6">
      <x:c r="A6" s="69" t="str">
        <x:v>MCK-MBI-270</x:v>
      </x:c>
      <x:c r="B6" s="70" t="str">
        <x:v>Momo Cake Mango biche</x:v>
      </x:c>
      <x:c r="C6" s="70" t="str">
        <x:v>TOP-MANGO-BICHE</x:v>
      </x:c>
      <x:c r="D6" s="70" t="str">
        <x:v>Topping Mango biche</x:v>
      </x:c>
      <x:c r="E6" s="114" t="n">
        <x:v>0.01</x:v>
      </x:c>
      <x:c r="F6" s="114" t="str">
        <x:v>kg</x:v>
      </x:c>
      <x:c r="G6" s="114" t="n">
        <x:v>0.01</x:v>
      </x:c>
      <x:c r="H6" s="70" t="str">
        <x:v>INSUMO_O_SUBRECETA</x:v>
      </x:c>
      <x:c r="I6" s="70" t="str">
        <x:v>SI</x:v>
      </x:c>
      <x:c r="J6" s="70" t="str">
        <x:v>AL_ENSAMBLAR</x:v>
      </x:c>
      <x:c r="K6" s="71" t="str"/>
    </x:row>
    <x:row r="7">
      <x:c r="A7" s="69" t="str">
        <x:v>MCK-MBI-270</x:v>
      </x:c>
      <x:c r="B7" s="70" t="str">
        <x:v>Momo Cake Mango biche</x:v>
      </x:c>
      <x:c r="C7" s="70" t="str">
        <x:v>FIG-HOR-MBI</x:v>
      </x:c>
      <x:c r="D7" s="70" t="str">
        <x:v>Figurita horizontal Mango biche</x:v>
      </x:c>
      <x:c r="E7" s="114" t="n">
        <x:v>1</x:v>
      </x:c>
      <x:c r="F7" s="114" t="str">
        <x:v>und</x:v>
      </x:c>
      <x:c r="G7" s="114" t="n">
        <x:v>0</x:v>
      </x:c>
      <x:c r="H7" s="70" t="str">
        <x:v>SEMITERMINADO</x:v>
      </x:c>
      <x:c r="I7" s="70" t="str">
        <x:v>SI</x:v>
      </x:c>
      <x:c r="J7" s="70" t="str">
        <x:v>AL_ENSAMBLAR</x:v>
      </x:c>
      <x:c r="K7" s="71" t="str">
        <x:v>Peso pendiente de validar; se consume por unidad.</x:v>
      </x:c>
    </x:row>
    <x:row r="8">
      <x:c r="A8" s="69" t="str">
        <x:v>MCK-COC-270</x:v>
      </x:c>
      <x:c r="B8" s="70" t="str">
        <x:v>Momo Cake Coco</x:v>
      </x:c>
      <x:c r="C8" s="70" t="str">
        <x:v>BASE-CROCANTE-NEUTRO</x:v>
      </x:c>
      <x:c r="D8" s="70" t="str">
        <x:v>Base crocante</x:v>
      </x:c>
      <x:c r="E8" s="114" t="n">
        <x:v>0.04</x:v>
      </x:c>
      <x:c r="F8" s="114" t="str">
        <x:v>kg</x:v>
      </x:c>
      <x:c r="G8" s="114" t="n">
        <x:v>0.04</x:v>
      </x:c>
      <x:c r="H8" s="70" t="str">
        <x:v>SUBRECETA</x:v>
      </x:c>
      <x:c r="I8" s="70" t="str">
        <x:v>SI</x:v>
      </x:c>
      <x:c r="J8" s="70" t="str">
        <x:v>AL_ENSAMBLAR</x:v>
      </x:c>
      <x:c r="K8" s="71" t="str"/>
    </x:row>
    <x:row r="9">
      <x:c r="A9" s="69" t="str">
        <x:v>MCK-COC-270</x:v>
      </x:c>
      <x:c r="B9" s="70" t="str">
        <x:v>Momo Cake Coco</x:v>
      </x:c>
      <x:c r="C9" s="70" t="str">
        <x:v>BASE-MOUSSE-COCO</x:v>
      </x:c>
      <x:c r="D9" s="70" t="str">
        <x:v>Mousse Coco</x:v>
      </x:c>
      <x:c r="E9" s="114" t="n">
        <x:v>0.14</x:v>
      </x:c>
      <x:c r="F9" s="114" t="str">
        <x:v>kg</x:v>
      </x:c>
      <x:c r="G9" s="114" t="n">
        <x:v>0.14</x:v>
      </x:c>
      <x:c r="H9" s="70" t="str">
        <x:v>SUBRECETA</x:v>
      </x:c>
      <x:c r="I9" s="70" t="str">
        <x:v>SI</x:v>
      </x:c>
      <x:c r="J9" s="70" t="str">
        <x:v>AL_ENSAMBLAR</x:v>
      </x:c>
      <x:c r="K9" s="71" t="str"/>
    </x:row>
    <x:row r="10">
      <x:c r="A10" s="69" t="str">
        <x:v>MCK-COC-270</x:v>
      </x:c>
      <x:c r="B10" s="70" t="str">
        <x:v>Momo Cake Coco</x:v>
      </x:c>
      <x:c r="C10" s="70" t="str">
        <x:v>BASE-CHEESECAKE-NEUTRO</x:v>
      </x:c>
      <x:c r="D10" s="70" t="str">
        <x:v>Cheesecake neutro</x:v>
      </x:c>
      <x:c r="E10" s="114" t="n">
        <x:v>0.06</x:v>
      </x:c>
      <x:c r="F10" s="114" t="str">
        <x:v>kg</x:v>
      </x:c>
      <x:c r="G10" s="114" t="n">
        <x:v>0.06</x:v>
      </x:c>
      <x:c r="H10" s="70" t="str">
        <x:v>SUBRECETA</x:v>
      </x:c>
      <x:c r="I10" s="70" t="str">
        <x:v>SI</x:v>
      </x:c>
      <x:c r="J10" s="70" t="str">
        <x:v>AL_ENSAMBLAR</x:v>
      </x:c>
      <x:c r="K10" s="71" t="str">
        <x:v>En sabores frutales reemplaza la ganache para evitar exceso de chocolate.</x:v>
      </x:c>
    </x:row>
    <x:row r="11">
      <x:c r="A11" s="69" t="str">
        <x:v>MCK-COC-270</x:v>
      </x:c>
      <x:c r="B11" s="70" t="str">
        <x:v>Momo Cake Coco</x:v>
      </x:c>
      <x:c r="C11" s="70" t="str">
        <x:v>BASE-SALSA-LECHE-CONDENSADA</x:v>
      </x:c>
      <x:c r="D11" s="70" t="str">
        <x:v>Salsa/cobertura Coco</x:v>
      </x:c>
      <x:c r="E11" s="114" t="n">
        <x:v>0.02</x:v>
      </x:c>
      <x:c r="F11" s="114" t="str">
        <x:v>kg</x:v>
      </x:c>
      <x:c r="G11" s="114" t="n">
        <x:v>0.02</x:v>
      </x:c>
      <x:c r="H11" s="70" t="str">
        <x:v>SUBRECETA</x:v>
      </x:c>
      <x:c r="I11" s="70" t="str">
        <x:v>SI</x:v>
      </x:c>
      <x:c r="J11" s="70" t="str">
        <x:v>AL_ENSAMBLAR</x:v>
      </x:c>
      <x:c r="K11" s="71" t="str"/>
    </x:row>
    <x:row r="12">
      <x:c r="A12" s="69" t="str">
        <x:v>MCK-COC-270</x:v>
      </x:c>
      <x:c r="B12" s="70" t="str">
        <x:v>Momo Cake Coco</x:v>
      </x:c>
      <x:c r="C12" s="70" t="str">
        <x:v>TOP-COCO-RALLADO</x:v>
      </x:c>
      <x:c r="D12" s="70" t="str">
        <x:v>Topping Coco</x:v>
      </x:c>
      <x:c r="E12" s="114" t="n">
        <x:v>0.01</x:v>
      </x:c>
      <x:c r="F12" s="114" t="str">
        <x:v>kg</x:v>
      </x:c>
      <x:c r="G12" s="114" t="n">
        <x:v>0.01</x:v>
      </x:c>
      <x:c r="H12" s="70" t="str">
        <x:v>INSUMO_O_SUBRECETA</x:v>
      </x:c>
      <x:c r="I12" s="70" t="str">
        <x:v>SI</x:v>
      </x:c>
      <x:c r="J12" s="70" t="str">
        <x:v>AL_ENSAMBLAR</x:v>
      </x:c>
      <x:c r="K12" s="71" t="str"/>
    </x:row>
    <x:row r="13">
      <x:c r="A13" s="69" t="str">
        <x:v>MCK-COC-270</x:v>
      </x:c>
      <x:c r="B13" s="70" t="str">
        <x:v>Momo Cake Coco</x:v>
      </x:c>
      <x:c r="C13" s="70" t="str">
        <x:v>FIG-HOR-COC</x:v>
      </x:c>
      <x:c r="D13" s="70" t="str">
        <x:v>Figurita horizontal Coco</x:v>
      </x:c>
      <x:c r="E13" s="114" t="n">
        <x:v>1</x:v>
      </x:c>
      <x:c r="F13" s="114" t="str">
        <x:v>und</x:v>
      </x:c>
      <x:c r="G13" s="114" t="n">
        <x:v>0</x:v>
      </x:c>
      <x:c r="H13" s="70" t="str">
        <x:v>SEMITERMINADO</x:v>
      </x:c>
      <x:c r="I13" s="70" t="str">
        <x:v>SI</x:v>
      </x:c>
      <x:c r="J13" s="70" t="str">
        <x:v>AL_ENSAMBLAR</x:v>
      </x:c>
      <x:c r="K13" s="71" t="str">
        <x:v>Peso pendiente de validar; se consume por unidad.</x:v>
      </x:c>
    </x:row>
    <x:row r="14">
      <x:c r="A14" s="69" t="str">
        <x:v>MCK-MAR-270</x:v>
      </x:c>
      <x:c r="B14" s="70" t="str">
        <x:v>Momo Cake Maracuyá</x:v>
      </x:c>
      <x:c r="C14" s="70" t="str">
        <x:v>BASE-CROCANTE-NEUTRO</x:v>
      </x:c>
      <x:c r="D14" s="70" t="str">
        <x:v>Base crocante</x:v>
      </x:c>
      <x:c r="E14" s="114" t="n">
        <x:v>0.04</x:v>
      </x:c>
      <x:c r="F14" s="114" t="str">
        <x:v>kg</x:v>
      </x:c>
      <x:c r="G14" s="114" t="n">
        <x:v>0.04</x:v>
      </x:c>
      <x:c r="H14" s="70" t="str">
        <x:v>SUBRECETA</x:v>
      </x:c>
      <x:c r="I14" s="70" t="str">
        <x:v>SI</x:v>
      </x:c>
      <x:c r="J14" s="70" t="str">
        <x:v>AL_ENSAMBLAR</x:v>
      </x:c>
      <x:c r="K14" s="71" t="str"/>
    </x:row>
    <x:row r="15">
      <x:c r="A15" s="69" t="str">
        <x:v>MCK-MAR-270</x:v>
      </x:c>
      <x:c r="B15" s="70" t="str">
        <x:v>Momo Cake Maracuyá</x:v>
      </x:c>
      <x:c r="C15" s="70" t="str">
        <x:v>BASE-MOUSSE-MARACUYA</x:v>
      </x:c>
      <x:c r="D15" s="70" t="str">
        <x:v>Mousse Maracuyá</x:v>
      </x:c>
      <x:c r="E15" s="114" t="n">
        <x:v>0.14</x:v>
      </x:c>
      <x:c r="F15" s="114" t="str">
        <x:v>kg</x:v>
      </x:c>
      <x:c r="G15" s="114" t="n">
        <x:v>0.14</x:v>
      </x:c>
      <x:c r="H15" s="70" t="str">
        <x:v>SUBRECETA</x:v>
      </x:c>
      <x:c r="I15" s="70" t="str">
        <x:v>SI</x:v>
      </x:c>
      <x:c r="J15" s="70" t="str">
        <x:v>AL_ENSAMBLAR</x:v>
      </x:c>
      <x:c r="K15" s="71" t="str"/>
    </x:row>
    <x:row r="16">
      <x:c r="A16" s="69" t="str">
        <x:v>MCK-MAR-270</x:v>
      </x:c>
      <x:c r="B16" s="70" t="str">
        <x:v>Momo Cake Maracuyá</x:v>
      </x:c>
      <x:c r="C16" s="70" t="str">
        <x:v>BASE-CHEESECAKE-NEUTRO</x:v>
      </x:c>
      <x:c r="D16" s="70" t="str">
        <x:v>Cheesecake neutro</x:v>
      </x:c>
      <x:c r="E16" s="114" t="n">
        <x:v>0.06</x:v>
      </x:c>
      <x:c r="F16" s="114" t="str">
        <x:v>kg</x:v>
      </x:c>
      <x:c r="G16" s="114" t="n">
        <x:v>0.06</x:v>
      </x:c>
      <x:c r="H16" s="70" t="str">
        <x:v>SUBRECETA</x:v>
      </x:c>
      <x:c r="I16" s="70" t="str">
        <x:v>SI</x:v>
      </x:c>
      <x:c r="J16" s="70" t="str">
        <x:v>AL_ENSAMBLAR</x:v>
      </x:c>
      <x:c r="K16" s="71" t="str">
        <x:v>En sabores frutales reemplaza la ganache para evitar exceso de chocolate.</x:v>
      </x:c>
    </x:row>
    <x:row r="17">
      <x:c r="A17" s="69" t="str">
        <x:v>MCK-MAR-270</x:v>
      </x:c>
      <x:c r="B17" s="70" t="str">
        <x:v>Momo Cake Maracuyá</x:v>
      </x:c>
      <x:c r="C17" s="70" t="str">
        <x:v>BASE-SALSA-MARACUYA</x:v>
      </x:c>
      <x:c r="D17" s="70" t="str">
        <x:v>Salsa/cobertura Maracuyá</x:v>
      </x:c>
      <x:c r="E17" s="114" t="n">
        <x:v>0.02</x:v>
      </x:c>
      <x:c r="F17" s="114" t="str">
        <x:v>kg</x:v>
      </x:c>
      <x:c r="G17" s="114" t="n">
        <x:v>0.02</x:v>
      </x:c>
      <x:c r="H17" s="70" t="str">
        <x:v>SUBRECETA</x:v>
      </x:c>
      <x:c r="I17" s="70" t="str">
        <x:v>SI</x:v>
      </x:c>
      <x:c r="J17" s="70" t="str">
        <x:v>AL_ENSAMBLAR</x:v>
      </x:c>
      <x:c r="K17" s="71" t="str"/>
    </x:row>
    <x:row r="18">
      <x:c r="A18" s="69" t="str">
        <x:v>MCK-MAR-270</x:v>
      </x:c>
      <x:c r="B18" s="70" t="str">
        <x:v>Momo Cake Maracuyá</x:v>
      </x:c>
      <x:c r="C18" s="70" t="str">
        <x:v>TOP-MARACUYA</x:v>
      </x:c>
      <x:c r="D18" s="70" t="str">
        <x:v>Topping Maracuyá</x:v>
      </x:c>
      <x:c r="E18" s="114" t="n">
        <x:v>0.01</x:v>
      </x:c>
      <x:c r="F18" s="114" t="str">
        <x:v>kg</x:v>
      </x:c>
      <x:c r="G18" s="114" t="n">
        <x:v>0.01</x:v>
      </x:c>
      <x:c r="H18" s="70" t="str">
        <x:v>INSUMO_O_SUBRECETA</x:v>
      </x:c>
      <x:c r="I18" s="70" t="str">
        <x:v>SI</x:v>
      </x:c>
      <x:c r="J18" s="70" t="str">
        <x:v>AL_ENSAMBLAR</x:v>
      </x:c>
      <x:c r="K18" s="71" t="str"/>
    </x:row>
    <x:row r="19">
      <x:c r="A19" s="69" t="str">
        <x:v>MCK-MAR-270</x:v>
      </x:c>
      <x:c r="B19" s="70" t="str">
        <x:v>Momo Cake Maracuyá</x:v>
      </x:c>
      <x:c r="C19" s="70" t="str">
        <x:v>FIG-HOR-MAR</x:v>
      </x:c>
      <x:c r="D19" s="70" t="str">
        <x:v>Figurita horizontal Maracuyá</x:v>
      </x:c>
      <x:c r="E19" s="114" t="n">
        <x:v>1</x:v>
      </x:c>
      <x:c r="F19" s="114" t="str">
        <x:v>und</x:v>
      </x:c>
      <x:c r="G19" s="114" t="n">
        <x:v>0</x:v>
      </x:c>
      <x:c r="H19" s="70" t="str">
        <x:v>SEMITERMINADO</x:v>
      </x:c>
      <x:c r="I19" s="70" t="str">
        <x:v>SI</x:v>
      </x:c>
      <x:c r="J19" s="70" t="str">
        <x:v>AL_ENSAMBLAR</x:v>
      </x:c>
      <x:c r="K19" s="71" t="str">
        <x:v>Peso pendiente de validar; se consume por unidad.</x:v>
      </x:c>
    </x:row>
    <x:row r="20">
      <x:c r="A20" s="69" t="str">
        <x:v>MCK-LIM-270</x:v>
      </x:c>
      <x:c r="B20" s="70" t="str">
        <x:v>Momo Cake Limón</x:v>
      </x:c>
      <x:c r="C20" s="70" t="str">
        <x:v>BASE-CROCANTE-NEUTRO</x:v>
      </x:c>
      <x:c r="D20" s="70" t="str">
        <x:v>Base crocante</x:v>
      </x:c>
      <x:c r="E20" s="114" t="n">
        <x:v>0.04</x:v>
      </x:c>
      <x:c r="F20" s="114" t="str">
        <x:v>kg</x:v>
      </x:c>
      <x:c r="G20" s="114" t="n">
        <x:v>0.04</x:v>
      </x:c>
      <x:c r="H20" s="70" t="str">
        <x:v>SUBRECETA</x:v>
      </x:c>
      <x:c r="I20" s="70" t="str">
        <x:v>SI</x:v>
      </x:c>
      <x:c r="J20" s="70" t="str">
        <x:v>AL_ENSAMBLAR</x:v>
      </x:c>
      <x:c r="K20" s="71" t="str"/>
    </x:row>
    <x:row r="21">
      <x:c r="A21" s="69" t="str">
        <x:v>MCK-LIM-270</x:v>
      </x:c>
      <x:c r="B21" s="70" t="str">
        <x:v>Momo Cake Limón</x:v>
      </x:c>
      <x:c r="C21" s="70" t="str">
        <x:v>BASE-MOUSSE-LIMON</x:v>
      </x:c>
      <x:c r="D21" s="70" t="str">
        <x:v>Mousse Limón</x:v>
      </x:c>
      <x:c r="E21" s="114" t="n">
        <x:v>0.14</x:v>
      </x:c>
      <x:c r="F21" s="114" t="str">
        <x:v>kg</x:v>
      </x:c>
      <x:c r="G21" s="114" t="n">
        <x:v>0.14</x:v>
      </x:c>
      <x:c r="H21" s="70" t="str">
        <x:v>SUBRECETA</x:v>
      </x:c>
      <x:c r="I21" s="70" t="str">
        <x:v>SI</x:v>
      </x:c>
      <x:c r="J21" s="70" t="str">
        <x:v>AL_ENSAMBLAR</x:v>
      </x:c>
      <x:c r="K21" s="71" t="str"/>
    </x:row>
    <x:row r="22">
      <x:c r="A22" s="69" t="str">
        <x:v>MCK-LIM-270</x:v>
      </x:c>
      <x:c r="B22" s="70" t="str">
        <x:v>Momo Cake Limón</x:v>
      </x:c>
      <x:c r="C22" s="70" t="str">
        <x:v>BASE-CHEESECAKE-NEUTRO</x:v>
      </x:c>
      <x:c r="D22" s="70" t="str">
        <x:v>Cheesecake neutro</x:v>
      </x:c>
      <x:c r="E22" s="114" t="n">
        <x:v>0.06</x:v>
      </x:c>
      <x:c r="F22" s="114" t="str">
        <x:v>kg</x:v>
      </x:c>
      <x:c r="G22" s="114" t="n">
        <x:v>0.06</x:v>
      </x:c>
      <x:c r="H22" s="70" t="str">
        <x:v>SUBRECETA</x:v>
      </x:c>
      <x:c r="I22" s="70" t="str">
        <x:v>SI</x:v>
      </x:c>
      <x:c r="J22" s="70" t="str">
        <x:v>AL_ENSAMBLAR</x:v>
      </x:c>
      <x:c r="K22" s="71" t="str">
        <x:v>En sabores frutales reemplaza la ganache para evitar exceso de chocolate.</x:v>
      </x:c>
    </x:row>
    <x:row r="23">
      <x:c r="A23" s="69" t="str">
        <x:v>MCK-LIM-270</x:v>
      </x:c>
      <x:c r="B23" s="70" t="str">
        <x:v>Momo Cake Limón</x:v>
      </x:c>
      <x:c r="C23" s="70" t="str">
        <x:v>BASE-SALSA-LIMON</x:v>
      </x:c>
      <x:c r="D23" s="70" t="str">
        <x:v>Salsa/cobertura Limón</x:v>
      </x:c>
      <x:c r="E23" s="114" t="n">
        <x:v>0.02</x:v>
      </x:c>
      <x:c r="F23" s="114" t="str">
        <x:v>kg</x:v>
      </x:c>
      <x:c r="G23" s="114" t="n">
        <x:v>0.02</x:v>
      </x:c>
      <x:c r="H23" s="70" t="str">
        <x:v>SUBRECETA</x:v>
      </x:c>
      <x:c r="I23" s="70" t="str">
        <x:v>SI</x:v>
      </x:c>
      <x:c r="J23" s="70" t="str">
        <x:v>AL_ENSAMBLAR</x:v>
      </x:c>
      <x:c r="K23" s="71" t="str"/>
    </x:row>
    <x:row r="24">
      <x:c r="A24" s="69" t="str">
        <x:v>MCK-LIM-270</x:v>
      </x:c>
      <x:c r="B24" s="70" t="str">
        <x:v>Momo Cake Limón</x:v>
      </x:c>
      <x:c r="C24" s="70" t="str">
        <x:v>TOP-RALLADURA-LIMON</x:v>
      </x:c>
      <x:c r="D24" s="70" t="str">
        <x:v>Topping Limón</x:v>
      </x:c>
      <x:c r="E24" s="114" t="n">
        <x:v>0.01</x:v>
      </x:c>
      <x:c r="F24" s="114" t="str">
        <x:v>kg</x:v>
      </x:c>
      <x:c r="G24" s="114" t="n">
        <x:v>0.01</x:v>
      </x:c>
      <x:c r="H24" s="70" t="str">
        <x:v>INSUMO_O_SUBRECETA</x:v>
      </x:c>
      <x:c r="I24" s="70" t="str">
        <x:v>SI</x:v>
      </x:c>
      <x:c r="J24" s="70" t="str">
        <x:v>AL_ENSAMBLAR</x:v>
      </x:c>
      <x:c r="K24" s="71" t="str"/>
    </x:row>
    <x:row r="25">
      <x:c r="A25" s="69" t="str">
        <x:v>MCK-LIM-270</x:v>
      </x:c>
      <x:c r="B25" s="70" t="str">
        <x:v>Momo Cake Limón</x:v>
      </x:c>
      <x:c r="C25" s="70" t="str">
        <x:v>FIG-HOR-LIM</x:v>
      </x:c>
      <x:c r="D25" s="70" t="str">
        <x:v>Figurita horizontal Limón</x:v>
      </x:c>
      <x:c r="E25" s="114" t="n">
        <x:v>1</x:v>
      </x:c>
      <x:c r="F25" s="114" t="str">
        <x:v>und</x:v>
      </x:c>
      <x:c r="G25" s="114" t="n">
        <x:v>0</x:v>
      </x:c>
      <x:c r="H25" s="70" t="str">
        <x:v>SEMITERMINADO</x:v>
      </x:c>
      <x:c r="I25" s="70" t="str">
        <x:v>SI</x:v>
      </x:c>
      <x:c r="J25" s="70" t="str">
        <x:v>AL_ENSAMBLAR</x:v>
      </x:c>
      <x:c r="K25" s="71" t="str">
        <x:v>Peso pendiente de validar; se consume por unidad.</x:v>
      </x:c>
    </x:row>
    <x:row r="26">
      <x:c r="A26" s="69" t="str">
        <x:v>MCK-BAN-270</x:v>
      </x:c>
      <x:c r="B26" s="70" t="str">
        <x:v>Momo Cake Banano</x:v>
      </x:c>
      <x:c r="C26" s="70" t="str">
        <x:v>BASE-CROCANTE-SALTIN</x:v>
      </x:c>
      <x:c r="D26" s="70" t="str">
        <x:v>Base crocante</x:v>
      </x:c>
      <x:c r="E26" s="114" t="n">
        <x:v>0.04</x:v>
      </x:c>
      <x:c r="F26" s="114" t="str">
        <x:v>kg</x:v>
      </x:c>
      <x:c r="G26" s="114" t="n">
        <x:v>0.04</x:v>
      </x:c>
      <x:c r="H26" s="70" t="str">
        <x:v>SUBRECETA</x:v>
      </x:c>
      <x:c r="I26" s="70" t="str">
        <x:v>SI</x:v>
      </x:c>
      <x:c r="J26" s="70" t="str">
        <x:v>AL_ENSAMBLAR</x:v>
      </x:c>
      <x:c r="K26" s="71" t="str"/>
    </x:row>
    <x:row r="27">
      <x:c r="A27" s="69" t="str">
        <x:v>MCK-BAN-270</x:v>
      </x:c>
      <x:c r="B27" s="70" t="str">
        <x:v>Momo Cake Banano</x:v>
      </x:c>
      <x:c r="C27" s="70" t="str">
        <x:v>BASE-MOUSSE-BANANO</x:v>
      </x:c>
      <x:c r="D27" s="70" t="str">
        <x:v>Mousse Banano</x:v>
      </x:c>
      <x:c r="E27" s="114" t="n">
        <x:v>0.14</x:v>
      </x:c>
      <x:c r="F27" s="114" t="str">
        <x:v>kg</x:v>
      </x:c>
      <x:c r="G27" s="114" t="n">
        <x:v>0.14</x:v>
      </x:c>
      <x:c r="H27" s="70" t="str">
        <x:v>SUBRECETA</x:v>
      </x:c>
      <x:c r="I27" s="70" t="str">
        <x:v>SI</x:v>
      </x:c>
      <x:c r="J27" s="70" t="str">
        <x:v>AL_ENSAMBLAR</x:v>
      </x:c>
      <x:c r="K27" s="71" t="str"/>
    </x:row>
    <x:row r="28">
      <x:c r="A28" s="69" t="str">
        <x:v>MCK-BAN-270</x:v>
      </x:c>
      <x:c r="B28" s="70" t="str">
        <x:v>Momo Cake Banano</x:v>
      </x:c>
      <x:c r="C28" s="70" t="str">
        <x:v>BASE-CHEESECAKE-NEUTRO</x:v>
      </x:c>
      <x:c r="D28" s="70" t="str">
        <x:v>Cheesecake neutro</x:v>
      </x:c>
      <x:c r="E28" s="114" t="n">
        <x:v>0.06</x:v>
      </x:c>
      <x:c r="F28" s="114" t="str">
        <x:v>kg</x:v>
      </x:c>
      <x:c r="G28" s="114" t="n">
        <x:v>0.06</x:v>
      </x:c>
      <x:c r="H28" s="70" t="str">
        <x:v>SUBRECETA</x:v>
      </x:c>
      <x:c r="I28" s="70" t="str">
        <x:v>SI</x:v>
      </x:c>
      <x:c r="J28" s="70" t="str">
        <x:v>AL_ENSAMBLAR</x:v>
      </x:c>
      <x:c r="K28" s="71" t="str">
        <x:v>En sabores frutales reemplaza la ganache para evitar exceso de chocolate.</x:v>
      </x:c>
    </x:row>
    <x:row r="29">
      <x:c r="A29" s="69" t="str">
        <x:v>MCK-BAN-270</x:v>
      </x:c>
      <x:c r="B29" s="70" t="str">
        <x:v>Momo Cake Banano</x:v>
      </x:c>
      <x:c r="C29" s="70" t="str">
        <x:v>BASE-SALSA-BANANO</x:v>
      </x:c>
      <x:c r="D29" s="70" t="str">
        <x:v>Salsa/cobertura Banano</x:v>
      </x:c>
      <x:c r="E29" s="114" t="n">
        <x:v>0.02</x:v>
      </x:c>
      <x:c r="F29" s="114" t="str">
        <x:v>kg</x:v>
      </x:c>
      <x:c r="G29" s="114" t="n">
        <x:v>0.02</x:v>
      </x:c>
      <x:c r="H29" s="70" t="str">
        <x:v>SUBRECETA</x:v>
      </x:c>
      <x:c r="I29" s="70" t="str">
        <x:v>SI</x:v>
      </x:c>
      <x:c r="J29" s="70" t="str">
        <x:v>AL_ENSAMBLAR</x:v>
      </x:c>
      <x:c r="K29" s="71" t="str"/>
    </x:row>
    <x:row r="30">
      <x:c r="A30" s="69" t="str">
        <x:v>MCK-BAN-270</x:v>
      </x:c>
      <x:c r="B30" s="70" t="str">
        <x:v>Momo Cake Banano</x:v>
      </x:c>
      <x:c r="C30" s="70" t="str">
        <x:v>TOP-BANANO</x:v>
      </x:c>
      <x:c r="D30" s="70" t="str">
        <x:v>Topping Banano</x:v>
      </x:c>
      <x:c r="E30" s="114" t="n">
        <x:v>0.01</x:v>
      </x:c>
      <x:c r="F30" s="114" t="str">
        <x:v>kg</x:v>
      </x:c>
      <x:c r="G30" s="114" t="n">
        <x:v>0.01</x:v>
      </x:c>
      <x:c r="H30" s="70" t="str">
        <x:v>INSUMO_O_SUBRECETA</x:v>
      </x:c>
      <x:c r="I30" s="70" t="str">
        <x:v>SI</x:v>
      </x:c>
      <x:c r="J30" s="70" t="str">
        <x:v>AL_ENSAMBLAR</x:v>
      </x:c>
      <x:c r="K30" s="71" t="str"/>
    </x:row>
    <x:row r="31">
      <x:c r="A31" s="69" t="str">
        <x:v>MCK-BAN-270</x:v>
      </x:c>
      <x:c r="B31" s="70" t="str">
        <x:v>Momo Cake Banano</x:v>
      </x:c>
      <x:c r="C31" s="70" t="str">
        <x:v>FIG-HOR-BAN</x:v>
      </x:c>
      <x:c r="D31" s="70" t="str">
        <x:v>Figurita horizontal Banano</x:v>
      </x:c>
      <x:c r="E31" s="114" t="n">
        <x:v>1</x:v>
      </x:c>
      <x:c r="F31" s="114" t="str">
        <x:v>und</x:v>
      </x:c>
      <x:c r="G31" s="114" t="n">
        <x:v>0</x:v>
      </x:c>
      <x:c r="H31" s="70" t="str">
        <x:v>SEMITERMINADO</x:v>
      </x:c>
      <x:c r="I31" s="70" t="str">
        <x:v>SI</x:v>
      </x:c>
      <x:c r="J31" s="70" t="str">
        <x:v>AL_ENSAMBLAR</x:v>
      </x:c>
      <x:c r="K31" s="71" t="str">
        <x:v>Peso pendiente de validar; se consume por unidad.</x:v>
      </x:c>
    </x:row>
    <x:row r="32">
      <x:c r="A32" s="69" t="str">
        <x:v>MCK-DUR-270</x:v>
      </x:c>
      <x:c r="B32" s="70" t="str">
        <x:v>Momo Cake Durazno</x:v>
      </x:c>
      <x:c r="C32" s="70" t="str">
        <x:v>BASE-CROCANTE-NEUTRO</x:v>
      </x:c>
      <x:c r="D32" s="70" t="str">
        <x:v>Base crocante</x:v>
      </x:c>
      <x:c r="E32" s="114" t="n">
        <x:v>0.04</x:v>
      </x:c>
      <x:c r="F32" s="114" t="str">
        <x:v>kg</x:v>
      </x:c>
      <x:c r="G32" s="114" t="n">
        <x:v>0.04</x:v>
      </x:c>
      <x:c r="H32" s="70" t="str">
        <x:v>SUBRECETA</x:v>
      </x:c>
      <x:c r="I32" s="70" t="str">
        <x:v>SI</x:v>
      </x:c>
      <x:c r="J32" s="70" t="str">
        <x:v>AL_ENSAMBLAR</x:v>
      </x:c>
      <x:c r="K32" s="71" t="str"/>
    </x:row>
    <x:row r="33">
      <x:c r="A33" s="69" t="str">
        <x:v>MCK-DUR-270</x:v>
      </x:c>
      <x:c r="B33" s="70" t="str">
        <x:v>Momo Cake Durazno</x:v>
      </x:c>
      <x:c r="C33" s="70" t="str">
        <x:v>BASE-MOUSSE-DURAZNO</x:v>
      </x:c>
      <x:c r="D33" s="70" t="str">
        <x:v>Mousse Durazno</x:v>
      </x:c>
      <x:c r="E33" s="114" t="n">
        <x:v>0.14</x:v>
      </x:c>
      <x:c r="F33" s="114" t="str">
        <x:v>kg</x:v>
      </x:c>
      <x:c r="G33" s="114" t="n">
        <x:v>0.14</x:v>
      </x:c>
      <x:c r="H33" s="70" t="str">
        <x:v>SUBRECETA</x:v>
      </x:c>
      <x:c r="I33" s="70" t="str">
        <x:v>SI</x:v>
      </x:c>
      <x:c r="J33" s="70" t="str">
        <x:v>AL_ENSAMBLAR</x:v>
      </x:c>
      <x:c r="K33" s="71" t="str"/>
    </x:row>
    <x:row r="34">
      <x:c r="A34" s="69" t="str">
        <x:v>MCK-DUR-270</x:v>
      </x:c>
      <x:c r="B34" s="70" t="str">
        <x:v>Momo Cake Durazno</x:v>
      </x:c>
      <x:c r="C34" s="70" t="str">
        <x:v>BASE-CHEESECAKE-NEUTRO</x:v>
      </x:c>
      <x:c r="D34" s="70" t="str">
        <x:v>Cheesecake neutro</x:v>
      </x:c>
      <x:c r="E34" s="114" t="n">
        <x:v>0.06</x:v>
      </x:c>
      <x:c r="F34" s="114" t="str">
        <x:v>kg</x:v>
      </x:c>
      <x:c r="G34" s="114" t="n">
        <x:v>0.06</x:v>
      </x:c>
      <x:c r="H34" s="70" t="str">
        <x:v>SUBRECETA</x:v>
      </x:c>
      <x:c r="I34" s="70" t="str">
        <x:v>SI</x:v>
      </x:c>
      <x:c r="J34" s="70" t="str">
        <x:v>AL_ENSAMBLAR</x:v>
      </x:c>
      <x:c r="K34" s="71" t="str">
        <x:v>En sabores frutales reemplaza la ganache para evitar exceso de chocolate.</x:v>
      </x:c>
    </x:row>
    <x:row r="35">
      <x:c r="A35" s="69" t="str">
        <x:v>MCK-DUR-270</x:v>
      </x:c>
      <x:c r="B35" s="70" t="str">
        <x:v>Momo Cake Durazno</x:v>
      </x:c>
      <x:c r="C35" s="70" t="str">
        <x:v>BASE-SALSA-DURAZNO</x:v>
      </x:c>
      <x:c r="D35" s="70" t="str">
        <x:v>Salsa/cobertura Durazno</x:v>
      </x:c>
      <x:c r="E35" s="114" t="n">
        <x:v>0.02</x:v>
      </x:c>
      <x:c r="F35" s="114" t="str">
        <x:v>kg</x:v>
      </x:c>
      <x:c r="G35" s="114" t="n">
        <x:v>0.02</x:v>
      </x:c>
      <x:c r="H35" s="70" t="str">
        <x:v>SUBRECETA</x:v>
      </x:c>
      <x:c r="I35" s="70" t="str">
        <x:v>SI</x:v>
      </x:c>
      <x:c r="J35" s="70" t="str">
        <x:v>AL_ENSAMBLAR</x:v>
      </x:c>
      <x:c r="K35" s="71" t="str"/>
    </x:row>
    <x:row r="36">
      <x:c r="A36" s="69" t="str">
        <x:v>MCK-DUR-270</x:v>
      </x:c>
      <x:c r="B36" s="70" t="str">
        <x:v>Momo Cake Durazno</x:v>
      </x:c>
      <x:c r="C36" s="70" t="str">
        <x:v>TOP-DURAZNO</x:v>
      </x:c>
      <x:c r="D36" s="70" t="str">
        <x:v>Topping Durazno</x:v>
      </x:c>
      <x:c r="E36" s="114" t="n">
        <x:v>0.01</x:v>
      </x:c>
      <x:c r="F36" s="114" t="str">
        <x:v>kg</x:v>
      </x:c>
      <x:c r="G36" s="114" t="n">
        <x:v>0.01</x:v>
      </x:c>
      <x:c r="H36" s="70" t="str">
        <x:v>INSUMO_O_SUBRECETA</x:v>
      </x:c>
      <x:c r="I36" s="70" t="str">
        <x:v>SI</x:v>
      </x:c>
      <x:c r="J36" s="70" t="str">
        <x:v>AL_ENSAMBLAR</x:v>
      </x:c>
      <x:c r="K36" s="71" t="str"/>
    </x:row>
    <x:row r="37">
      <x:c r="A37" s="69" t="str">
        <x:v>MCK-DUR-270</x:v>
      </x:c>
      <x:c r="B37" s="70" t="str">
        <x:v>Momo Cake Durazno</x:v>
      </x:c>
      <x:c r="C37" s="70" t="str">
        <x:v>FIG-HOR-DUR</x:v>
      </x:c>
      <x:c r="D37" s="70" t="str">
        <x:v>Figurita horizontal Durazno</x:v>
      </x:c>
      <x:c r="E37" s="114" t="n">
        <x:v>1</x:v>
      </x:c>
      <x:c r="F37" s="114" t="str">
        <x:v>und</x:v>
      </x:c>
      <x:c r="G37" s="114" t="n">
        <x:v>0</x:v>
      </x:c>
      <x:c r="H37" s="70" t="str">
        <x:v>SEMITERMINADO</x:v>
      </x:c>
      <x:c r="I37" s="70" t="str">
        <x:v>SI</x:v>
      </x:c>
      <x:c r="J37" s="70" t="str">
        <x:v>AL_ENSAMBLAR</x:v>
      </x:c>
      <x:c r="K37" s="71" t="str">
        <x:v>Peso pendiente de validar; se consume por unidad.</x:v>
      </x:c>
    </x:row>
    <x:row r="38">
      <x:c r="A38" s="69" t="str">
        <x:v>MCK-MNM-270</x:v>
      </x:c>
      <x:c r="B38" s="70" t="str">
        <x:v>Momo Cake M&amp;M</x:v>
      </x:c>
      <x:c r="C38" s="70" t="str">
        <x:v>BASE-CROCANTE-CHOCOLATE</x:v>
      </x:c>
      <x:c r="D38" s="70" t="str">
        <x:v>Base crocante</x:v>
      </x:c>
      <x:c r="E38" s="114" t="n">
        <x:v>0.04</x:v>
      </x:c>
      <x:c r="F38" s="114" t="str">
        <x:v>kg</x:v>
      </x:c>
      <x:c r="G38" s="114" t="n">
        <x:v>0.04</x:v>
      </x:c>
      <x:c r="H38" s="70" t="str">
        <x:v>SUBRECETA</x:v>
      </x:c>
      <x:c r="I38" s="70" t="str">
        <x:v>SI</x:v>
      </x:c>
      <x:c r="J38" s="70" t="str">
        <x:v>AL_ENSAMBLAR</x:v>
      </x:c>
      <x:c r="K38" s="71" t="str"/>
    </x:row>
    <x:row r="39">
      <x:c r="A39" s="69" t="str">
        <x:v>MCK-MNM-270</x:v>
      </x:c>
      <x:c r="B39" s="70" t="str">
        <x:v>Momo Cake M&amp;M</x:v>
      </x:c>
      <x:c r="C39" s="70" t="str">
        <x:v>BASE-MOUSSE-MNM</x:v>
      </x:c>
      <x:c r="D39" s="70" t="str">
        <x:v>Mousse M&amp;M</x:v>
      </x:c>
      <x:c r="E39" s="114" t="n">
        <x:v>0.14</x:v>
      </x:c>
      <x:c r="F39" s="114" t="str">
        <x:v>kg</x:v>
      </x:c>
      <x:c r="G39" s="114" t="n">
        <x:v>0.14</x:v>
      </x:c>
      <x:c r="H39" s="70" t="str">
        <x:v>SUBRECETA</x:v>
      </x:c>
      <x:c r="I39" s="70" t="str">
        <x:v>SI</x:v>
      </x:c>
      <x:c r="J39" s="70" t="str">
        <x:v>AL_ENSAMBLAR</x:v>
      </x:c>
      <x:c r="K39" s="71" t="str"/>
    </x:row>
    <x:row r="40">
      <x:c r="A40" s="69" t="str">
        <x:v>MCK-MNM-270</x:v>
      </x:c>
      <x:c r="B40" s="70" t="str">
        <x:v>Momo Cake M&amp;M</x:v>
      </x:c>
      <x:c r="C40" s="70" t="str">
        <x:v>BASE-CHEESECAKE-NEUTRO</x:v>
      </x:c>
      <x:c r="D40" s="70" t="str">
        <x:v>Cheesecake neutro</x:v>
      </x:c>
      <x:c r="E40" s="114" t="n">
        <x:v>0.035</x:v>
      </x:c>
      <x:c r="F40" s="114" t="str">
        <x:v>kg</x:v>
      </x:c>
      <x:c r="G40" s="114" t="n">
        <x:v>0.035</x:v>
      </x:c>
      <x:c r="H40" s="70" t="str">
        <x:v>SUBRECETA</x:v>
      </x:c>
      <x:c r="I40" s="70" t="str">
        <x:v>SI</x:v>
      </x:c>
      <x:c r="J40" s="70" t="str">
        <x:v>AL_ENSAMBLAR</x:v>
      </x:c>
      <x:c r="K40" s="71" t="str"/>
    </x:row>
    <x:row r="41">
      <x:c r="A41" s="69" t="str">
        <x:v>MCK-MNM-270</x:v>
      </x:c>
      <x:c r="B41" s="70" t="str">
        <x:v>Momo Cake M&amp;M</x:v>
      </x:c>
      <x:c r="C41" s="70" t="str">
        <x:v>BASE-GANACHE-CHOCOLATE</x:v>
      </x:c>
      <x:c r="D41" s="70" t="str">
        <x:v>Ganache de chocolate</x:v>
      </x:c>
      <x:c r="E41" s="114" t="n">
        <x:v>0.025</x:v>
      </x:c>
      <x:c r="F41" s="114" t="str">
        <x:v>kg</x:v>
      </x:c>
      <x:c r="G41" s="114" t="n">
        <x:v>0.025</x:v>
      </x:c>
      <x:c r="H41" s="70" t="str">
        <x:v>SUBRECETA</x:v>
      </x:c>
      <x:c r="I41" s="70" t="str">
        <x:v>SI</x:v>
      </x:c>
      <x:c r="J41" s="70" t="str">
        <x:v>AL_ENSAMBLAR</x:v>
      </x:c>
      <x:c r="K41" s="71" t="str"/>
    </x:row>
    <x:row r="42">
      <x:c r="A42" s="69" t="str">
        <x:v>MCK-MNM-270</x:v>
      </x:c>
      <x:c r="B42" s="70" t="str">
        <x:v>Momo Cake M&amp;M</x:v>
      </x:c>
      <x:c r="C42" s="70" t="str">
        <x:v>BASE-SALSA-CHOCOLATE</x:v>
      </x:c>
      <x:c r="D42" s="70" t="str">
        <x:v>Salsa/cobertura M&amp;M</x:v>
      </x:c>
      <x:c r="E42" s="114" t="n">
        <x:v>0.02</x:v>
      </x:c>
      <x:c r="F42" s="114" t="str">
        <x:v>kg</x:v>
      </x:c>
      <x:c r="G42" s="114" t="n">
        <x:v>0.02</x:v>
      </x:c>
      <x:c r="H42" s="70" t="str">
        <x:v>SUBRECETA</x:v>
      </x:c>
      <x:c r="I42" s="70" t="str">
        <x:v>SI</x:v>
      </x:c>
      <x:c r="J42" s="70" t="str">
        <x:v>AL_ENSAMBLAR</x:v>
      </x:c>
      <x:c r="K42" s="71" t="str"/>
    </x:row>
    <x:row r="43">
      <x:c r="A43" s="69" t="str">
        <x:v>MCK-MNM-270</x:v>
      </x:c>
      <x:c r="B43" s="70" t="str">
        <x:v>Momo Cake M&amp;M</x:v>
      </x:c>
      <x:c r="C43" s="70" t="str">
        <x:v>TOP-MNM</x:v>
      </x:c>
      <x:c r="D43" s="70" t="str">
        <x:v>Topping M&amp;M</x:v>
      </x:c>
      <x:c r="E43" s="114" t="n">
        <x:v>0.01</x:v>
      </x:c>
      <x:c r="F43" s="114" t="str">
        <x:v>kg</x:v>
      </x:c>
      <x:c r="G43" s="114" t="n">
        <x:v>0.01</x:v>
      </x:c>
      <x:c r="H43" s="70" t="str">
        <x:v>INSUMO_O_SUBRECETA</x:v>
      </x:c>
      <x:c r="I43" s="70" t="str">
        <x:v>SI</x:v>
      </x:c>
      <x:c r="J43" s="70" t="str">
        <x:v>AL_ENSAMBLAR</x:v>
      </x:c>
      <x:c r="K43" s="71" t="str"/>
    </x:row>
    <x:row r="44">
      <x:c r="A44" s="69" t="str">
        <x:v>MCK-MNM-270</x:v>
      </x:c>
      <x:c r="B44" s="70" t="str">
        <x:v>Momo Cake M&amp;M</x:v>
      </x:c>
      <x:c r="C44" s="70" t="str">
        <x:v>FIG-HOR-MNM</x:v>
      </x:c>
      <x:c r="D44" s="70" t="str">
        <x:v>Figurita horizontal M&amp;M</x:v>
      </x:c>
      <x:c r="E44" s="114" t="n">
        <x:v>1</x:v>
      </x:c>
      <x:c r="F44" s="114" t="str">
        <x:v>und</x:v>
      </x:c>
      <x:c r="G44" s="114" t="n">
        <x:v>0</x:v>
      </x:c>
      <x:c r="H44" s="70" t="str">
        <x:v>SEMITERMINADO</x:v>
      </x:c>
      <x:c r="I44" s="70" t="str">
        <x:v>SI</x:v>
      </x:c>
      <x:c r="J44" s="70" t="str">
        <x:v>AL_ENSAMBLAR</x:v>
      </x:c>
      <x:c r="K44" s="71" t="str">
        <x:v>Peso pendiente de validar; se consume por unidad.</x:v>
      </x:c>
    </x:row>
    <x:row r="45">
      <x:c r="A45" s="69" t="str">
        <x:v>MCK-ORE-270</x:v>
      </x:c>
      <x:c r="B45" s="70" t="str">
        <x:v>Momo Cake Oreo</x:v>
      </x:c>
      <x:c r="C45" s="70" t="str">
        <x:v>BASE-CROCANTE-OREO</x:v>
      </x:c>
      <x:c r="D45" s="70" t="str">
        <x:v>Base crocante</x:v>
      </x:c>
      <x:c r="E45" s="114" t="n">
        <x:v>0.04</x:v>
      </x:c>
      <x:c r="F45" s="114" t="str">
        <x:v>kg</x:v>
      </x:c>
      <x:c r="G45" s="114" t="n">
        <x:v>0.04</x:v>
      </x:c>
      <x:c r="H45" s="70" t="str">
        <x:v>SUBRECETA</x:v>
      </x:c>
      <x:c r="I45" s="70" t="str">
        <x:v>SI</x:v>
      </x:c>
      <x:c r="J45" s="70" t="str">
        <x:v>AL_ENSAMBLAR</x:v>
      </x:c>
      <x:c r="K45" s="71" t="str"/>
    </x:row>
    <x:row r="46">
      <x:c r="A46" s="69" t="str">
        <x:v>MCK-ORE-270</x:v>
      </x:c>
      <x:c r="B46" s="70" t="str">
        <x:v>Momo Cake Oreo</x:v>
      </x:c>
      <x:c r="C46" s="70" t="str">
        <x:v>BASE-MOUSSE-OREO</x:v>
      </x:c>
      <x:c r="D46" s="70" t="str">
        <x:v>Mousse Oreo</x:v>
      </x:c>
      <x:c r="E46" s="114" t="n">
        <x:v>0.14</x:v>
      </x:c>
      <x:c r="F46" s="114" t="str">
        <x:v>kg</x:v>
      </x:c>
      <x:c r="G46" s="114" t="n">
        <x:v>0.14</x:v>
      </x:c>
      <x:c r="H46" s="70" t="str">
        <x:v>SUBRECETA</x:v>
      </x:c>
      <x:c r="I46" s="70" t="str">
        <x:v>SI</x:v>
      </x:c>
      <x:c r="J46" s="70" t="str">
        <x:v>AL_ENSAMBLAR</x:v>
      </x:c>
      <x:c r="K46" s="71" t="str"/>
    </x:row>
    <x:row r="47">
      <x:c r="A47" s="69" t="str">
        <x:v>MCK-ORE-270</x:v>
      </x:c>
      <x:c r="B47" s="70" t="str">
        <x:v>Momo Cake Oreo</x:v>
      </x:c>
      <x:c r="C47" s="70" t="str">
        <x:v>BASE-CHEESECAKE-NEUTRO</x:v>
      </x:c>
      <x:c r="D47" s="70" t="str">
        <x:v>Cheesecake neutro</x:v>
      </x:c>
      <x:c r="E47" s="114" t="n">
        <x:v>0.035</x:v>
      </x:c>
      <x:c r="F47" s="114" t="str">
        <x:v>kg</x:v>
      </x:c>
      <x:c r="G47" s="114" t="n">
        <x:v>0.035</x:v>
      </x:c>
      <x:c r="H47" s="70" t="str">
        <x:v>SUBRECETA</x:v>
      </x:c>
      <x:c r="I47" s="70" t="str">
        <x:v>SI</x:v>
      </x:c>
      <x:c r="J47" s="70" t="str">
        <x:v>AL_ENSAMBLAR</x:v>
      </x:c>
      <x:c r="K47" s="71" t="str"/>
    </x:row>
    <x:row r="48">
      <x:c r="A48" s="69" t="str">
        <x:v>MCK-ORE-270</x:v>
      </x:c>
      <x:c r="B48" s="70" t="str">
        <x:v>Momo Cake Oreo</x:v>
      </x:c>
      <x:c r="C48" s="70" t="str">
        <x:v>BASE-GANACHE-CHOCOLATE</x:v>
      </x:c>
      <x:c r="D48" s="70" t="str">
        <x:v>Ganache de chocolate</x:v>
      </x:c>
      <x:c r="E48" s="114" t="n">
        <x:v>0.025</x:v>
      </x:c>
      <x:c r="F48" s="114" t="str">
        <x:v>kg</x:v>
      </x:c>
      <x:c r="G48" s="114" t="n">
        <x:v>0.025</x:v>
      </x:c>
      <x:c r="H48" s="70" t="str">
        <x:v>SUBRECETA</x:v>
      </x:c>
      <x:c r="I48" s="70" t="str">
        <x:v>SI</x:v>
      </x:c>
      <x:c r="J48" s="70" t="str">
        <x:v>AL_ENSAMBLAR</x:v>
      </x:c>
      <x:c r="K48" s="71" t="str"/>
    </x:row>
    <x:row r="49">
      <x:c r="A49" s="69" t="str">
        <x:v>MCK-ORE-270</x:v>
      </x:c>
      <x:c r="B49" s="70" t="str">
        <x:v>Momo Cake Oreo</x:v>
      </x:c>
      <x:c r="C49" s="70" t="str">
        <x:v>BASE-SALSA-CHOCOLATE</x:v>
      </x:c>
      <x:c r="D49" s="70" t="str">
        <x:v>Salsa/cobertura Oreo</x:v>
      </x:c>
      <x:c r="E49" s="114" t="n">
        <x:v>0.02</x:v>
      </x:c>
      <x:c r="F49" s="114" t="str">
        <x:v>kg</x:v>
      </x:c>
      <x:c r="G49" s="114" t="n">
        <x:v>0.02</x:v>
      </x:c>
      <x:c r="H49" s="70" t="str">
        <x:v>SUBRECETA</x:v>
      </x:c>
      <x:c r="I49" s="70" t="str">
        <x:v>SI</x:v>
      </x:c>
      <x:c r="J49" s="70" t="str">
        <x:v>AL_ENSAMBLAR</x:v>
      </x:c>
      <x:c r="K49" s="71" t="str"/>
    </x:row>
    <x:row r="50">
      <x:c r="A50" s="69" t="str">
        <x:v>MCK-ORE-270</x:v>
      </x:c>
      <x:c r="B50" s="70" t="str">
        <x:v>Momo Cake Oreo</x:v>
      </x:c>
      <x:c r="C50" s="70" t="str">
        <x:v>TOP-OREO-TRITURADA</x:v>
      </x:c>
      <x:c r="D50" s="70" t="str">
        <x:v>Topping Oreo</x:v>
      </x:c>
      <x:c r="E50" s="114" t="n">
        <x:v>0.01</x:v>
      </x:c>
      <x:c r="F50" s="114" t="str">
        <x:v>kg</x:v>
      </x:c>
      <x:c r="G50" s="114" t="n">
        <x:v>0.01</x:v>
      </x:c>
      <x:c r="H50" s="70" t="str">
        <x:v>INSUMO_O_SUBRECETA</x:v>
      </x:c>
      <x:c r="I50" s="70" t="str">
        <x:v>SI</x:v>
      </x:c>
      <x:c r="J50" s="70" t="str">
        <x:v>AL_ENSAMBLAR</x:v>
      </x:c>
      <x:c r="K50" s="71" t="str"/>
    </x:row>
    <x:row r="51">
      <x:c r="A51" s="69" t="str">
        <x:v>MCK-ORE-270</x:v>
      </x:c>
      <x:c r="B51" s="70" t="str">
        <x:v>Momo Cake Oreo</x:v>
      </x:c>
      <x:c r="C51" s="70" t="str">
        <x:v>FIG-HOR-ORE</x:v>
      </x:c>
      <x:c r="D51" s="70" t="str">
        <x:v>Figurita horizontal Oreo</x:v>
      </x:c>
      <x:c r="E51" s="114" t="n">
        <x:v>1</x:v>
      </x:c>
      <x:c r="F51" s="114" t="str">
        <x:v>und</x:v>
      </x:c>
      <x:c r="G51" s="114" t="n">
        <x:v>0</x:v>
      </x:c>
      <x:c r="H51" s="70" t="str">
        <x:v>SEMITERMINADO</x:v>
      </x:c>
      <x:c r="I51" s="70" t="str">
        <x:v>SI</x:v>
      </x:c>
      <x:c r="J51" s="70" t="str">
        <x:v>AL_ENSAMBLAR</x:v>
      </x:c>
      <x:c r="K51" s="71" t="str">
        <x:v>Peso pendiente de validar; se consume por unidad.</x:v>
      </x:c>
    </x:row>
    <x:row r="52">
      <x:c r="A52" s="69" t="str">
        <x:v>MCK-CSL-270</x:v>
      </x:c>
      <x:c r="B52" s="70" t="str">
        <x:v>Momo Cake Caramelo salado</x:v>
      </x:c>
      <x:c r="C52" s="70" t="str">
        <x:v>BASE-CROCANTE-SALTIN</x:v>
      </x:c>
      <x:c r="D52" s="70" t="str">
        <x:v>Base crocante</x:v>
      </x:c>
      <x:c r="E52" s="114" t="n">
        <x:v>0.04</x:v>
      </x:c>
      <x:c r="F52" s="114" t="str">
        <x:v>kg</x:v>
      </x:c>
      <x:c r="G52" s="114" t="n">
        <x:v>0.04</x:v>
      </x:c>
      <x:c r="H52" s="70" t="str">
        <x:v>SUBRECETA</x:v>
      </x:c>
      <x:c r="I52" s="70" t="str">
        <x:v>SI</x:v>
      </x:c>
      <x:c r="J52" s="70" t="str">
        <x:v>AL_ENSAMBLAR</x:v>
      </x:c>
      <x:c r="K52" s="71" t="str"/>
    </x:row>
    <x:row r="53">
      <x:c r="A53" s="69" t="str">
        <x:v>MCK-CSL-270</x:v>
      </x:c>
      <x:c r="B53" s="70" t="str">
        <x:v>Momo Cake Caramelo salado</x:v>
      </x:c>
      <x:c r="C53" s="70" t="str">
        <x:v>BASE-MOUSSE-CARAMELO-SALADO</x:v>
      </x:c>
      <x:c r="D53" s="70" t="str">
        <x:v>Mousse Caramelo salado</x:v>
      </x:c>
      <x:c r="E53" s="114" t="n">
        <x:v>0.14</x:v>
      </x:c>
      <x:c r="F53" s="114" t="str">
        <x:v>kg</x:v>
      </x:c>
      <x:c r="G53" s="114" t="n">
        <x:v>0.14</x:v>
      </x:c>
      <x:c r="H53" s="70" t="str">
        <x:v>SUBRECETA</x:v>
      </x:c>
      <x:c r="I53" s="70" t="str">
        <x:v>SI</x:v>
      </x:c>
      <x:c r="J53" s="70" t="str">
        <x:v>AL_ENSAMBLAR</x:v>
      </x:c>
      <x:c r="K53" s="71" t="str"/>
    </x:row>
    <x:row r="54">
      <x:c r="A54" s="69" t="str">
        <x:v>MCK-CSL-270</x:v>
      </x:c>
      <x:c r="B54" s="70" t="str">
        <x:v>Momo Cake Caramelo salado</x:v>
      </x:c>
      <x:c r="C54" s="70" t="str">
        <x:v>BASE-CHEESECAKE-NEUTRO</x:v>
      </x:c>
      <x:c r="D54" s="70" t="str">
        <x:v>Cheesecake neutro</x:v>
      </x:c>
      <x:c r="E54" s="114" t="n">
        <x:v>0.035</x:v>
      </x:c>
      <x:c r="F54" s="114" t="str">
        <x:v>kg</x:v>
      </x:c>
      <x:c r="G54" s="114" t="n">
        <x:v>0.035</x:v>
      </x:c>
      <x:c r="H54" s="70" t="str">
        <x:v>SUBRECETA</x:v>
      </x:c>
      <x:c r="I54" s="70" t="str">
        <x:v>SI</x:v>
      </x:c>
      <x:c r="J54" s="70" t="str">
        <x:v>AL_ENSAMBLAR</x:v>
      </x:c>
      <x:c r="K54" s="71" t="str"/>
    </x:row>
    <x:row r="55">
      <x:c r="A55" s="69" t="str">
        <x:v>MCK-CSL-270</x:v>
      </x:c>
      <x:c r="B55" s="70" t="str">
        <x:v>Momo Cake Caramelo salado</x:v>
      </x:c>
      <x:c r="C55" s="70" t="str">
        <x:v>BASE-GANACHE-CHOCOLATE</x:v>
      </x:c>
      <x:c r="D55" s="70" t="str">
        <x:v>Ganache de chocolate</x:v>
      </x:c>
      <x:c r="E55" s="114" t="n">
        <x:v>0.025</x:v>
      </x:c>
      <x:c r="F55" s="114" t="str">
        <x:v>kg</x:v>
      </x:c>
      <x:c r="G55" s="114" t="n">
        <x:v>0.025</x:v>
      </x:c>
      <x:c r="H55" s="70" t="str">
        <x:v>SUBRECETA</x:v>
      </x:c>
      <x:c r="I55" s="70" t="str">
        <x:v>SI</x:v>
      </x:c>
      <x:c r="J55" s="70" t="str">
        <x:v>AL_ENSAMBLAR</x:v>
      </x:c>
      <x:c r="K55" s="71" t="str"/>
    </x:row>
    <x:row r="56">
      <x:c r="A56" s="69" t="str">
        <x:v>MCK-CSL-270</x:v>
      </x:c>
      <x:c r="B56" s="70" t="str">
        <x:v>Momo Cake Caramelo salado</x:v>
      </x:c>
      <x:c r="C56" s="70" t="str">
        <x:v>BASE-CARAMELO-SALADO</x:v>
      </x:c>
      <x:c r="D56" s="70" t="str">
        <x:v>Salsa/cobertura Caramelo salado</x:v>
      </x:c>
      <x:c r="E56" s="114" t="n">
        <x:v>0.02</x:v>
      </x:c>
      <x:c r="F56" s="114" t="str">
        <x:v>kg</x:v>
      </x:c>
      <x:c r="G56" s="114" t="n">
        <x:v>0.02</x:v>
      </x:c>
      <x:c r="H56" s="70" t="str">
        <x:v>SUBRECETA</x:v>
      </x:c>
      <x:c r="I56" s="70" t="str">
        <x:v>SI</x:v>
      </x:c>
      <x:c r="J56" s="70" t="str">
        <x:v>AL_ENSAMBLAR</x:v>
      </x:c>
      <x:c r="K56" s="71" t="str"/>
    </x:row>
    <x:row r="57">
      <x:c r="A57" s="69" t="str">
        <x:v>MCK-CSL-270</x:v>
      </x:c>
      <x:c r="B57" s="70" t="str">
        <x:v>Momo Cake Caramelo salado</x:v>
      </x:c>
      <x:c r="C57" s="70" t="str">
        <x:v>TOP-CROCANTE-CARAMELO</x:v>
      </x:c>
      <x:c r="D57" s="70" t="str">
        <x:v>Topping Caramelo salado</x:v>
      </x:c>
      <x:c r="E57" s="114" t="n">
        <x:v>0.01</x:v>
      </x:c>
      <x:c r="F57" s="114" t="str">
        <x:v>kg</x:v>
      </x:c>
      <x:c r="G57" s="114" t="n">
        <x:v>0.01</x:v>
      </x:c>
      <x:c r="H57" s="70" t="str">
        <x:v>INSUMO_O_SUBRECETA</x:v>
      </x:c>
      <x:c r="I57" s="70" t="str">
        <x:v>SI</x:v>
      </x:c>
      <x:c r="J57" s="70" t="str">
        <x:v>AL_ENSAMBLAR</x:v>
      </x:c>
      <x:c r="K57" s="71" t="str"/>
    </x:row>
    <x:row r="58">
      <x:c r="A58" s="69" t="str">
        <x:v>MCK-CSL-270</x:v>
      </x:c>
      <x:c r="B58" s="70" t="str">
        <x:v>Momo Cake Caramelo salado</x:v>
      </x:c>
      <x:c r="C58" s="70" t="str">
        <x:v>FIG-HOR-CSL</x:v>
      </x:c>
      <x:c r="D58" s="70" t="str">
        <x:v>Figurita horizontal Caramelo salado</x:v>
      </x:c>
      <x:c r="E58" s="114" t="n">
        <x:v>1</x:v>
      </x:c>
      <x:c r="F58" s="114" t="str">
        <x:v>und</x:v>
      </x:c>
      <x:c r="G58" s="114" t="n">
        <x:v>0</x:v>
      </x:c>
      <x:c r="H58" s="70" t="str">
        <x:v>SEMITERMINADO</x:v>
      </x:c>
      <x:c r="I58" s="70" t="str">
        <x:v>SI</x:v>
      </x:c>
      <x:c r="J58" s="70" t="str">
        <x:v>AL_ENSAMBLAR</x:v>
      </x:c>
      <x:c r="K58" s="71" t="str">
        <x:v>Peso pendiente de validar; se consume por unidad.</x:v>
      </x:c>
    </x:row>
    <x:row r="59">
      <x:c r="A59" s="69" t="str">
        <x:v>MCK-NUT-270</x:v>
      </x:c>
      <x:c r="B59" s="70" t="str">
        <x:v>Momo Cake Nutella</x:v>
      </x:c>
      <x:c r="C59" s="70" t="str">
        <x:v>BASE-CROCANTE-CHOCOLATE</x:v>
      </x:c>
      <x:c r="D59" s="70" t="str">
        <x:v>Base crocante</x:v>
      </x:c>
      <x:c r="E59" s="114" t="n">
        <x:v>0.04</x:v>
      </x:c>
      <x:c r="F59" s="114" t="str">
        <x:v>kg</x:v>
      </x:c>
      <x:c r="G59" s="114" t="n">
        <x:v>0.04</x:v>
      </x:c>
      <x:c r="H59" s="70" t="str">
        <x:v>SUBRECETA</x:v>
      </x:c>
      <x:c r="I59" s="70" t="str">
        <x:v>SI</x:v>
      </x:c>
      <x:c r="J59" s="70" t="str">
        <x:v>AL_ENSAMBLAR</x:v>
      </x:c>
      <x:c r="K59" s="71" t="str"/>
    </x:row>
    <x:row r="60">
      <x:c r="A60" s="69" t="str">
        <x:v>MCK-NUT-270</x:v>
      </x:c>
      <x:c r="B60" s="70" t="str">
        <x:v>Momo Cake Nutella</x:v>
      </x:c>
      <x:c r="C60" s="70" t="str">
        <x:v>BASE-MOUSSE-NUTELLA</x:v>
      </x:c>
      <x:c r="D60" s="70" t="str">
        <x:v>Mousse Nutella</x:v>
      </x:c>
      <x:c r="E60" s="114" t="n">
        <x:v>0.14</x:v>
      </x:c>
      <x:c r="F60" s="114" t="str">
        <x:v>kg</x:v>
      </x:c>
      <x:c r="G60" s="114" t="n">
        <x:v>0.14</x:v>
      </x:c>
      <x:c r="H60" s="70" t="str">
        <x:v>SUBRECETA</x:v>
      </x:c>
      <x:c r="I60" s="70" t="str">
        <x:v>SI</x:v>
      </x:c>
      <x:c r="J60" s="70" t="str">
        <x:v>AL_ENSAMBLAR</x:v>
      </x:c>
      <x:c r="K60" s="71" t="str"/>
    </x:row>
    <x:row r="61">
      <x:c r="A61" s="69" t="str">
        <x:v>MCK-NUT-270</x:v>
      </x:c>
      <x:c r="B61" s="70" t="str">
        <x:v>Momo Cake Nutella</x:v>
      </x:c>
      <x:c r="C61" s="70" t="str">
        <x:v>BASE-CHEESECAKE-NEUTRO</x:v>
      </x:c>
      <x:c r="D61" s="70" t="str">
        <x:v>Cheesecake neutro</x:v>
      </x:c>
      <x:c r="E61" s="114" t="n">
        <x:v>0.035</x:v>
      </x:c>
      <x:c r="F61" s="114" t="str">
        <x:v>kg</x:v>
      </x:c>
      <x:c r="G61" s="114" t="n">
        <x:v>0.035</x:v>
      </x:c>
      <x:c r="H61" s="70" t="str">
        <x:v>SUBRECETA</x:v>
      </x:c>
      <x:c r="I61" s="70" t="str">
        <x:v>SI</x:v>
      </x:c>
      <x:c r="J61" s="70" t="str">
        <x:v>AL_ENSAMBLAR</x:v>
      </x:c>
      <x:c r="K61" s="71" t="str"/>
    </x:row>
    <x:row r="62">
      <x:c r="A62" s="69" t="str">
        <x:v>MCK-NUT-270</x:v>
      </x:c>
      <x:c r="B62" s="70" t="str">
        <x:v>Momo Cake Nutella</x:v>
      </x:c>
      <x:c r="C62" s="70" t="str">
        <x:v>BASE-GANACHE-CHOCOLATE</x:v>
      </x:c>
      <x:c r="D62" s="70" t="str">
        <x:v>Ganache de chocolate</x:v>
      </x:c>
      <x:c r="E62" s="114" t="n">
        <x:v>0.025</x:v>
      </x:c>
      <x:c r="F62" s="114" t="str">
        <x:v>kg</x:v>
      </x:c>
      <x:c r="G62" s="114" t="n">
        <x:v>0.025</x:v>
      </x:c>
      <x:c r="H62" s="70" t="str">
        <x:v>SUBRECETA</x:v>
      </x:c>
      <x:c r="I62" s="70" t="str">
        <x:v>SI</x:v>
      </x:c>
      <x:c r="J62" s="70" t="str">
        <x:v>AL_ENSAMBLAR</x:v>
      </x:c>
      <x:c r="K62" s="71" t="str"/>
    </x:row>
    <x:row r="63">
      <x:c r="A63" s="69" t="str">
        <x:v>MCK-NUT-270</x:v>
      </x:c>
      <x:c r="B63" s="70" t="str">
        <x:v>Momo Cake Nutella</x:v>
      </x:c>
      <x:c r="C63" s="70" t="str">
        <x:v>BASE-SALSA-NUTELLA</x:v>
      </x:c>
      <x:c r="D63" s="70" t="str">
        <x:v>Salsa/cobertura Nutella</x:v>
      </x:c>
      <x:c r="E63" s="114" t="n">
        <x:v>0.02</x:v>
      </x:c>
      <x:c r="F63" s="114" t="str">
        <x:v>kg</x:v>
      </x:c>
      <x:c r="G63" s="114" t="n">
        <x:v>0.02</x:v>
      </x:c>
      <x:c r="H63" s="70" t="str">
        <x:v>SUBRECETA</x:v>
      </x:c>
      <x:c r="I63" s="70" t="str">
        <x:v>SI</x:v>
      </x:c>
      <x:c r="J63" s="70" t="str">
        <x:v>AL_ENSAMBLAR</x:v>
      </x:c>
      <x:c r="K63" s="71" t="str"/>
    </x:row>
    <x:row r="64">
      <x:c r="A64" s="69" t="str">
        <x:v>MCK-NUT-270</x:v>
      </x:c>
      <x:c r="B64" s="70" t="str">
        <x:v>Momo Cake Nutella</x:v>
      </x:c>
      <x:c r="C64" s="70" t="str">
        <x:v>TOP-AVELLANA</x:v>
      </x:c>
      <x:c r="D64" s="70" t="str">
        <x:v>Topping Nutella</x:v>
      </x:c>
      <x:c r="E64" s="114" t="n">
        <x:v>0.01</x:v>
      </x:c>
      <x:c r="F64" s="114" t="str">
        <x:v>kg</x:v>
      </x:c>
      <x:c r="G64" s="114" t="n">
        <x:v>0.01</x:v>
      </x:c>
      <x:c r="H64" s="70" t="str">
        <x:v>INSUMO_O_SUBRECETA</x:v>
      </x:c>
      <x:c r="I64" s="70" t="str">
        <x:v>SI</x:v>
      </x:c>
      <x:c r="J64" s="70" t="str">
        <x:v>AL_ENSAMBLAR</x:v>
      </x:c>
      <x:c r="K64" s="71" t="str"/>
    </x:row>
    <x:row r="65">
      <x:c r="A65" s="69" t="str">
        <x:v>MCK-NUT-270</x:v>
      </x:c>
      <x:c r="B65" s="70" t="str">
        <x:v>Momo Cake Nutella</x:v>
      </x:c>
      <x:c r="C65" s="70" t="str">
        <x:v>FIG-HOR-NUT</x:v>
      </x:c>
      <x:c r="D65" s="70" t="str">
        <x:v>Figurita horizontal Nutella</x:v>
      </x:c>
      <x:c r="E65" s="114" t="n">
        <x:v>1</x:v>
      </x:c>
      <x:c r="F65" s="114" t="str">
        <x:v>und</x:v>
      </x:c>
      <x:c r="G65" s="114" t="n">
        <x:v>0</x:v>
      </x:c>
      <x:c r="H65" s="70" t="str">
        <x:v>SEMITERMINADO</x:v>
      </x:c>
      <x:c r="I65" s="70" t="str">
        <x:v>SI</x:v>
      </x:c>
      <x:c r="J65" s="70" t="str">
        <x:v>AL_ENSAMBLAR</x:v>
      </x:c>
      <x:c r="K65" s="71" t="str">
        <x:v>Peso pendiente de validar; se consume por unidad.</x:v>
      </x:c>
    </x:row>
    <x:row r="66">
      <x:c r="A66" s="69" t="str">
        <x:v>MCK-MIL-270</x:v>
      </x:c>
      <x:c r="B66" s="70" t="str">
        <x:v>Momo Cake Milo</x:v>
      </x:c>
      <x:c r="C66" s="70" t="str">
        <x:v>BASE-CROCANTE-CHOCOLATE</x:v>
      </x:c>
      <x:c r="D66" s="70" t="str">
        <x:v>Base crocante</x:v>
      </x:c>
      <x:c r="E66" s="114" t="n">
        <x:v>0.04</x:v>
      </x:c>
      <x:c r="F66" s="114" t="str">
        <x:v>kg</x:v>
      </x:c>
      <x:c r="G66" s="114" t="n">
        <x:v>0.04</x:v>
      </x:c>
      <x:c r="H66" s="70" t="str">
        <x:v>SUBRECETA</x:v>
      </x:c>
      <x:c r="I66" s="70" t="str">
        <x:v>SI</x:v>
      </x:c>
      <x:c r="J66" s="70" t="str">
        <x:v>AL_ENSAMBLAR</x:v>
      </x:c>
      <x:c r="K66" s="71" t="str"/>
    </x:row>
    <x:row r="67">
      <x:c r="A67" s="69" t="str">
        <x:v>MCK-MIL-270</x:v>
      </x:c>
      <x:c r="B67" s="70" t="str">
        <x:v>Momo Cake Milo</x:v>
      </x:c>
      <x:c r="C67" s="70" t="str">
        <x:v>BASE-MOUSSE-MILO</x:v>
      </x:c>
      <x:c r="D67" s="70" t="str">
        <x:v>Mousse Milo</x:v>
      </x:c>
      <x:c r="E67" s="114" t="n">
        <x:v>0.14</x:v>
      </x:c>
      <x:c r="F67" s="114" t="str">
        <x:v>kg</x:v>
      </x:c>
      <x:c r="G67" s="114" t="n">
        <x:v>0.14</x:v>
      </x:c>
      <x:c r="H67" s="70" t="str">
        <x:v>SUBRECETA</x:v>
      </x:c>
      <x:c r="I67" s="70" t="str">
        <x:v>SI</x:v>
      </x:c>
      <x:c r="J67" s="70" t="str">
        <x:v>AL_ENSAMBLAR</x:v>
      </x:c>
      <x:c r="K67" s="71" t="str"/>
    </x:row>
    <x:row r="68">
      <x:c r="A68" s="69" t="str">
        <x:v>MCK-MIL-270</x:v>
      </x:c>
      <x:c r="B68" s="70" t="str">
        <x:v>Momo Cake Milo</x:v>
      </x:c>
      <x:c r="C68" s="70" t="str">
        <x:v>BASE-CHEESECAKE-NEUTRO</x:v>
      </x:c>
      <x:c r="D68" s="70" t="str">
        <x:v>Cheesecake neutro</x:v>
      </x:c>
      <x:c r="E68" s="114" t="n">
        <x:v>0.035</x:v>
      </x:c>
      <x:c r="F68" s="114" t="str">
        <x:v>kg</x:v>
      </x:c>
      <x:c r="G68" s="114" t="n">
        <x:v>0.035</x:v>
      </x:c>
      <x:c r="H68" s="70" t="str">
        <x:v>SUBRECETA</x:v>
      </x:c>
      <x:c r="I68" s="70" t="str">
        <x:v>SI</x:v>
      </x:c>
      <x:c r="J68" s="70" t="str">
        <x:v>AL_ENSAMBLAR</x:v>
      </x:c>
      <x:c r="K68" s="71" t="str"/>
    </x:row>
    <x:row r="69">
      <x:c r="A69" s="69" t="str">
        <x:v>MCK-MIL-270</x:v>
      </x:c>
      <x:c r="B69" s="70" t="str">
        <x:v>Momo Cake Milo</x:v>
      </x:c>
      <x:c r="C69" s="70" t="str">
        <x:v>BASE-GANACHE-CHOCOLATE</x:v>
      </x:c>
      <x:c r="D69" s="70" t="str">
        <x:v>Ganache de chocolate</x:v>
      </x:c>
      <x:c r="E69" s="114" t="n">
        <x:v>0.025</x:v>
      </x:c>
      <x:c r="F69" s="114" t="str">
        <x:v>kg</x:v>
      </x:c>
      <x:c r="G69" s="114" t="n">
        <x:v>0.025</x:v>
      </x:c>
      <x:c r="H69" s="70" t="str">
        <x:v>SUBRECETA</x:v>
      </x:c>
      <x:c r="I69" s="70" t="str">
        <x:v>SI</x:v>
      </x:c>
      <x:c r="J69" s="70" t="str">
        <x:v>AL_ENSAMBLAR</x:v>
      </x:c>
      <x:c r="K69" s="71" t="str"/>
    </x:row>
    <x:row r="70">
      <x:c r="A70" s="69" t="str">
        <x:v>MCK-MIL-270</x:v>
      </x:c>
      <x:c r="B70" s="70" t="str">
        <x:v>Momo Cake Milo</x:v>
      </x:c>
      <x:c r="C70" s="70" t="str">
        <x:v>BASE-SALSA-CHOCOLATE</x:v>
      </x:c>
      <x:c r="D70" s="70" t="str">
        <x:v>Salsa/cobertura Milo</x:v>
      </x:c>
      <x:c r="E70" s="114" t="n">
        <x:v>0.02</x:v>
      </x:c>
      <x:c r="F70" s="114" t="str">
        <x:v>kg</x:v>
      </x:c>
      <x:c r="G70" s="114" t="n">
        <x:v>0.02</x:v>
      </x:c>
      <x:c r="H70" s="70" t="str">
        <x:v>SUBRECETA</x:v>
      </x:c>
      <x:c r="I70" s="70" t="str">
        <x:v>SI</x:v>
      </x:c>
      <x:c r="J70" s="70" t="str">
        <x:v>AL_ENSAMBLAR</x:v>
      </x:c>
      <x:c r="K70" s="71" t="str"/>
    </x:row>
    <x:row r="71">
      <x:c r="A71" s="69" t="str">
        <x:v>MCK-MIL-270</x:v>
      </x:c>
      <x:c r="B71" s="70" t="str">
        <x:v>Momo Cake Milo</x:v>
      </x:c>
      <x:c r="C71" s="70" t="str">
        <x:v>TOP-MILO</x:v>
      </x:c>
      <x:c r="D71" s="70" t="str">
        <x:v>Topping Milo</x:v>
      </x:c>
      <x:c r="E71" s="114" t="n">
        <x:v>0.01</x:v>
      </x:c>
      <x:c r="F71" s="114" t="str">
        <x:v>kg</x:v>
      </x:c>
      <x:c r="G71" s="114" t="n">
        <x:v>0.01</x:v>
      </x:c>
      <x:c r="H71" s="70" t="str">
        <x:v>INSUMO_O_SUBRECETA</x:v>
      </x:c>
      <x:c r="I71" s="70" t="str">
        <x:v>SI</x:v>
      </x:c>
      <x:c r="J71" s="70" t="str">
        <x:v>AL_ENSAMBLAR</x:v>
      </x:c>
      <x:c r="K71" s="71" t="str"/>
    </x:row>
    <x:row r="72">
      <x:c r="A72" s="69" t="str">
        <x:v>MCK-MIL-270</x:v>
      </x:c>
      <x:c r="B72" s="70" t="str">
        <x:v>Momo Cake Milo</x:v>
      </x:c>
      <x:c r="C72" s="70" t="str">
        <x:v>FIG-HOR-MIL</x:v>
      </x:c>
      <x:c r="D72" s="70" t="str">
        <x:v>Figurita horizontal Milo</x:v>
      </x:c>
      <x:c r="E72" s="114" t="n">
        <x:v>1</x:v>
      </x:c>
      <x:c r="F72" s="114" t="str">
        <x:v>und</x:v>
      </x:c>
      <x:c r="G72" s="114" t="n">
        <x:v>0</x:v>
      </x:c>
      <x:c r="H72" s="70" t="str">
        <x:v>SEMITERMINADO</x:v>
      </x:c>
      <x:c r="I72" s="70" t="str">
        <x:v>SI</x:v>
      </x:c>
      <x:c r="J72" s="70" t="str">
        <x:v>AL_ENSAMBLAR</x:v>
      </x:c>
      <x:c r="K72" s="71" t="str">
        <x:v>Peso pendiente de validar; se consume por unidad.</x:v>
      </x:c>
    </x:row>
    <x:row r="73">
      <x:c r="A73" s="69" t="str">
        <x:v>CHK-MBI-270</x:v>
      </x:c>
      <x:c r="B73" s="70" t="str">
        <x:v>Cheesecake Mango biche</x:v>
      </x:c>
      <x:c r="C73" s="70" t="str">
        <x:v>BASE-CROCANTE-NEUTRO</x:v>
      </x:c>
      <x:c r="D73" s="70" t="str">
        <x:v>Base crocante</x:v>
      </x:c>
      <x:c r="E73" s="114" t="n">
        <x:v>0.045</x:v>
      </x:c>
      <x:c r="F73" s="114" t="str">
        <x:v>kg</x:v>
      </x:c>
      <x:c r="G73" s="114" t="n">
        <x:v>0.045</x:v>
      </x:c>
      <x:c r="H73" s="70" t="str">
        <x:v>SUBRECETA</x:v>
      </x:c>
      <x:c r="I73" s="70" t="str">
        <x:v>SI</x:v>
      </x:c>
      <x:c r="J73" s="70" t="str">
        <x:v>AL_ENSAMBLAR</x:v>
      </x:c>
      <x:c r="K73" s="71" t="str"/>
    </x:row>
    <x:row r="74">
      <x:c r="A74" s="69" t="str">
        <x:v>CHK-MBI-270</x:v>
      </x:c>
      <x:c r="B74" s="70" t="str">
        <x:v>Cheesecake Mango biche</x:v>
      </x:c>
      <x:c r="C74" s="70" t="str">
        <x:v>BASE-CHEESECAKE-NEUTRO</x:v>
      </x:c>
      <x:c r="D74" s="70" t="str">
        <x:v>Cheesecake neutro</x:v>
      </x:c>
      <x:c r="E74" s="114" t="n">
        <x:v>0.165</x:v>
      </x:c>
      <x:c r="F74" s="114" t="str">
        <x:v>kg</x:v>
      </x:c>
      <x:c r="G74" s="114" t="n">
        <x:v>0.165</x:v>
      </x:c>
      <x:c r="H74" s="70" t="str">
        <x:v>SUBRECETA</x:v>
      </x:c>
      <x:c r="I74" s="70" t="str">
        <x:v>SI</x:v>
      </x:c>
      <x:c r="J74" s="70" t="str">
        <x:v>AL_ENSAMBLAR</x:v>
      </x:c>
      <x:c r="K74" s="71" t="str"/>
    </x:row>
    <x:row r="75">
      <x:c r="A75" s="69" t="str">
        <x:v>CHK-MBI-270</x:v>
      </x:c>
      <x:c r="B75" s="70" t="str">
        <x:v>Cheesecake Mango biche</x:v>
      </x:c>
      <x:c r="C75" s="70" t="str">
        <x:v>BASE-INCLUSION-MANGO-BICHE</x:v>
      </x:c>
      <x:c r="D75" s="70" t="str">
        <x:v>Inclusión Mango biche</x:v>
      </x:c>
      <x:c r="E75" s="114" t="n">
        <x:v>0.03</x:v>
      </x:c>
      <x:c r="F75" s="114" t="str">
        <x:v>kg</x:v>
      </x:c>
      <x:c r="G75" s="114" t="n">
        <x:v>0.03</x:v>
      </x:c>
      <x:c r="H75" s="70" t="str">
        <x:v>INSUMO_O_SUBRECETA</x:v>
      </x:c>
      <x:c r="I75" s="70" t="str">
        <x:v>SI</x:v>
      </x:c>
      <x:c r="J75" s="70" t="str">
        <x:v>AL_ENSAMBLAR</x:v>
      </x:c>
      <x:c r="K75" s="71" t="str"/>
    </x:row>
    <x:row r="76">
      <x:c r="A76" s="69" t="str">
        <x:v>CHK-MBI-270</x:v>
      </x:c>
      <x:c r="B76" s="70" t="str">
        <x:v>Cheesecake Mango biche</x:v>
      </x:c>
      <x:c r="C76" s="70" t="str">
        <x:v>BASE-SALSA-MANGO-BICHE</x:v>
      </x:c>
      <x:c r="D76" s="70" t="str">
        <x:v>Salsa Mango biche</x:v>
      </x:c>
      <x:c r="E76" s="114" t="n">
        <x:v>0.02</x:v>
      </x:c>
      <x:c r="F76" s="114" t="str">
        <x:v>kg</x:v>
      </x:c>
      <x:c r="G76" s="114" t="n">
        <x:v>0.02</x:v>
      </x:c>
      <x:c r="H76" s="70" t="str">
        <x:v>SUBRECETA</x:v>
      </x:c>
      <x:c r="I76" s="70" t="str">
        <x:v>SI</x:v>
      </x:c>
      <x:c r="J76" s="70" t="str">
        <x:v>AL_ENSAMBLAR</x:v>
      </x:c>
      <x:c r="K76" s="71" t="str"/>
    </x:row>
    <x:row r="77">
      <x:c r="A77" s="69" t="str">
        <x:v>CHK-MBI-270</x:v>
      </x:c>
      <x:c r="B77" s="70" t="str">
        <x:v>Cheesecake Mango biche</x:v>
      </x:c>
      <x:c r="C77" s="70" t="str">
        <x:v>TOP-MANGO-BICHE</x:v>
      </x:c>
      <x:c r="D77" s="70" t="str">
        <x:v>Topping Mango biche</x:v>
      </x:c>
      <x:c r="E77" s="114" t="n">
        <x:v>0.01</x:v>
      </x:c>
      <x:c r="F77" s="114" t="str">
        <x:v>kg</x:v>
      </x:c>
      <x:c r="G77" s="114" t="n">
        <x:v>0.01</x:v>
      </x:c>
      <x:c r="H77" s="70" t="str">
        <x:v>INSUMO_O_SUBRECETA</x:v>
      </x:c>
      <x:c r="I77" s="70" t="str">
        <x:v>SI</x:v>
      </x:c>
      <x:c r="J77" s="70" t="str">
        <x:v>AL_ENSAMBLAR</x:v>
      </x:c>
      <x:c r="K77" s="71" t="str"/>
    </x:row>
    <x:row r="78">
      <x:c r="A78" s="69" t="str">
        <x:v>CHK-MBI-270</x:v>
      </x:c>
      <x:c r="B78" s="70" t="str">
        <x:v>Cheesecake Mango biche</x:v>
      </x:c>
      <x:c r="C78" s="70" t="str">
        <x:v>FIG-HOR-MBI</x:v>
      </x:c>
      <x:c r="D78" s="70" t="str">
        <x:v>Figurita horizontal Mango biche</x:v>
      </x:c>
      <x:c r="E78" s="114" t="n">
        <x:v>1</x:v>
      </x:c>
      <x:c r="F78" s="114" t="str">
        <x:v>und</x:v>
      </x:c>
      <x:c r="G78" s="114" t="n">
        <x:v>0</x:v>
      </x:c>
      <x:c r="H78" s="70" t="str">
        <x:v>SEMITERMINADO</x:v>
      </x:c>
      <x:c r="I78" s="70" t="str">
        <x:v>SI</x:v>
      </x:c>
      <x:c r="J78" s="70" t="str">
        <x:v>AL_ENSAMBLAR</x:v>
      </x:c>
      <x:c r="K78" s="71" t="str">
        <x:v>Peso pendiente de validar; se consume por unidad.</x:v>
      </x:c>
    </x:row>
    <x:row r="79">
      <x:c r="A79" s="69" t="str">
        <x:v>CHK-COC-270</x:v>
      </x:c>
      <x:c r="B79" s="70" t="str">
        <x:v>Cheesecake Coco</x:v>
      </x:c>
      <x:c r="C79" s="70" t="str">
        <x:v>BASE-CROCANTE-NEUTRO</x:v>
      </x:c>
      <x:c r="D79" s="70" t="str">
        <x:v>Base crocante</x:v>
      </x:c>
      <x:c r="E79" s="114" t="n">
        <x:v>0.045</x:v>
      </x:c>
      <x:c r="F79" s="114" t="str">
        <x:v>kg</x:v>
      </x:c>
      <x:c r="G79" s="114" t="n">
        <x:v>0.045</x:v>
      </x:c>
      <x:c r="H79" s="70" t="str">
        <x:v>SUBRECETA</x:v>
      </x:c>
      <x:c r="I79" s="70" t="str">
        <x:v>SI</x:v>
      </x:c>
      <x:c r="J79" s="70" t="str">
        <x:v>AL_ENSAMBLAR</x:v>
      </x:c>
      <x:c r="K79" s="71" t="str"/>
    </x:row>
    <x:row r="80">
      <x:c r="A80" s="69" t="str">
        <x:v>CHK-COC-270</x:v>
      </x:c>
      <x:c r="B80" s="70" t="str">
        <x:v>Cheesecake Coco</x:v>
      </x:c>
      <x:c r="C80" s="70" t="str">
        <x:v>BASE-CHEESECAKE-NEUTRO</x:v>
      </x:c>
      <x:c r="D80" s="70" t="str">
        <x:v>Cheesecake neutro</x:v>
      </x:c>
      <x:c r="E80" s="114" t="n">
        <x:v>0.165</x:v>
      </x:c>
      <x:c r="F80" s="114" t="str">
        <x:v>kg</x:v>
      </x:c>
      <x:c r="G80" s="114" t="n">
        <x:v>0.165</x:v>
      </x:c>
      <x:c r="H80" s="70" t="str">
        <x:v>SUBRECETA</x:v>
      </x:c>
      <x:c r="I80" s="70" t="str">
        <x:v>SI</x:v>
      </x:c>
      <x:c r="J80" s="70" t="str">
        <x:v>AL_ENSAMBLAR</x:v>
      </x:c>
      <x:c r="K80" s="71" t="str"/>
    </x:row>
    <x:row r="81">
      <x:c r="A81" s="69" t="str">
        <x:v>CHK-COC-270</x:v>
      </x:c>
      <x:c r="B81" s="70" t="str">
        <x:v>Cheesecake Coco</x:v>
      </x:c>
      <x:c r="C81" s="70" t="str">
        <x:v>INS-COCO-RALLADO</x:v>
      </x:c>
      <x:c r="D81" s="70" t="str">
        <x:v>Inclusión Coco</x:v>
      </x:c>
      <x:c r="E81" s="114" t="n">
        <x:v>0.03</x:v>
      </x:c>
      <x:c r="F81" s="114" t="str">
        <x:v>kg</x:v>
      </x:c>
      <x:c r="G81" s="114" t="n">
        <x:v>0.03</x:v>
      </x:c>
      <x:c r="H81" s="70" t="str">
        <x:v>INSUMO_O_SUBRECETA</x:v>
      </x:c>
      <x:c r="I81" s="70" t="str">
        <x:v>SI</x:v>
      </x:c>
      <x:c r="J81" s="70" t="str">
        <x:v>AL_ENSAMBLAR</x:v>
      </x:c>
      <x:c r="K81" s="71" t="str"/>
    </x:row>
    <x:row r="82">
      <x:c r="A82" s="69" t="str">
        <x:v>CHK-COC-270</x:v>
      </x:c>
      <x:c r="B82" s="70" t="str">
        <x:v>Cheesecake Coco</x:v>
      </x:c>
      <x:c r="C82" s="70" t="str">
        <x:v>BASE-SALSA-LECHE-CONDENSADA</x:v>
      </x:c>
      <x:c r="D82" s="70" t="str">
        <x:v>Salsa Coco</x:v>
      </x:c>
      <x:c r="E82" s="114" t="n">
        <x:v>0.02</x:v>
      </x:c>
      <x:c r="F82" s="114" t="str">
        <x:v>kg</x:v>
      </x:c>
      <x:c r="G82" s="114" t="n">
        <x:v>0.02</x:v>
      </x:c>
      <x:c r="H82" s="70" t="str">
        <x:v>SUBRECETA</x:v>
      </x:c>
      <x:c r="I82" s="70" t="str">
        <x:v>SI</x:v>
      </x:c>
      <x:c r="J82" s="70" t="str">
        <x:v>AL_ENSAMBLAR</x:v>
      </x:c>
      <x:c r="K82" s="71" t="str"/>
    </x:row>
    <x:row r="83">
      <x:c r="A83" s="69" t="str">
        <x:v>CHK-COC-270</x:v>
      </x:c>
      <x:c r="B83" s="70" t="str">
        <x:v>Cheesecake Coco</x:v>
      </x:c>
      <x:c r="C83" s="70" t="str">
        <x:v>TOP-COCO-RALLADO</x:v>
      </x:c>
      <x:c r="D83" s="70" t="str">
        <x:v>Topping Coco</x:v>
      </x:c>
      <x:c r="E83" s="114" t="n">
        <x:v>0.01</x:v>
      </x:c>
      <x:c r="F83" s="114" t="str">
        <x:v>kg</x:v>
      </x:c>
      <x:c r="G83" s="114" t="n">
        <x:v>0.01</x:v>
      </x:c>
      <x:c r="H83" s="70" t="str">
        <x:v>INSUMO_O_SUBRECETA</x:v>
      </x:c>
      <x:c r="I83" s="70" t="str">
        <x:v>SI</x:v>
      </x:c>
      <x:c r="J83" s="70" t="str">
        <x:v>AL_ENSAMBLAR</x:v>
      </x:c>
      <x:c r="K83" s="71" t="str"/>
    </x:row>
    <x:row r="84">
      <x:c r="A84" s="69" t="str">
        <x:v>CHK-COC-270</x:v>
      </x:c>
      <x:c r="B84" s="70" t="str">
        <x:v>Cheesecake Coco</x:v>
      </x:c>
      <x:c r="C84" s="70" t="str">
        <x:v>FIG-HOR-COC</x:v>
      </x:c>
      <x:c r="D84" s="70" t="str">
        <x:v>Figurita horizontal Coco</x:v>
      </x:c>
      <x:c r="E84" s="114" t="n">
        <x:v>1</x:v>
      </x:c>
      <x:c r="F84" s="114" t="str">
        <x:v>und</x:v>
      </x:c>
      <x:c r="G84" s="114" t="n">
        <x:v>0</x:v>
      </x:c>
      <x:c r="H84" s="70" t="str">
        <x:v>SEMITERMINADO</x:v>
      </x:c>
      <x:c r="I84" s="70" t="str">
        <x:v>SI</x:v>
      </x:c>
      <x:c r="J84" s="70" t="str">
        <x:v>AL_ENSAMBLAR</x:v>
      </x:c>
      <x:c r="K84" s="71" t="str">
        <x:v>Peso pendiente de validar; se consume por unidad.</x:v>
      </x:c>
    </x:row>
    <x:row r="85">
      <x:c r="A85" s="69" t="str">
        <x:v>CHK-MAR-270</x:v>
      </x:c>
      <x:c r="B85" s="70" t="str">
        <x:v>Cheesecake Maracuyá</x:v>
      </x:c>
      <x:c r="C85" s="70" t="str">
        <x:v>BASE-CROCANTE-NEUTRO</x:v>
      </x:c>
      <x:c r="D85" s="70" t="str">
        <x:v>Base crocante</x:v>
      </x:c>
      <x:c r="E85" s="114" t="n">
        <x:v>0.045</x:v>
      </x:c>
      <x:c r="F85" s="114" t="str">
        <x:v>kg</x:v>
      </x:c>
      <x:c r="G85" s="114" t="n">
        <x:v>0.045</x:v>
      </x:c>
      <x:c r="H85" s="70" t="str">
        <x:v>SUBRECETA</x:v>
      </x:c>
      <x:c r="I85" s="70" t="str">
        <x:v>SI</x:v>
      </x:c>
      <x:c r="J85" s="70" t="str">
        <x:v>AL_ENSAMBLAR</x:v>
      </x:c>
      <x:c r="K85" s="71" t="str"/>
    </x:row>
    <x:row r="86">
      <x:c r="A86" s="69" t="str">
        <x:v>CHK-MAR-270</x:v>
      </x:c>
      <x:c r="B86" s="70" t="str">
        <x:v>Cheesecake Maracuyá</x:v>
      </x:c>
      <x:c r="C86" s="70" t="str">
        <x:v>BASE-CHEESECAKE-NEUTRO</x:v>
      </x:c>
      <x:c r="D86" s="70" t="str">
        <x:v>Cheesecake neutro</x:v>
      </x:c>
      <x:c r="E86" s="114" t="n">
        <x:v>0.165</x:v>
      </x:c>
      <x:c r="F86" s="114" t="str">
        <x:v>kg</x:v>
      </x:c>
      <x:c r="G86" s="114" t="n">
        <x:v>0.165</x:v>
      </x:c>
      <x:c r="H86" s="70" t="str">
        <x:v>SUBRECETA</x:v>
      </x:c>
      <x:c r="I86" s="70" t="str">
        <x:v>SI</x:v>
      </x:c>
      <x:c r="J86" s="70" t="str">
        <x:v>AL_ENSAMBLAR</x:v>
      </x:c>
      <x:c r="K86" s="71" t="str"/>
    </x:row>
    <x:row r="87">
      <x:c r="A87" s="69" t="str">
        <x:v>CHK-MAR-270</x:v>
      </x:c>
      <x:c r="B87" s="70" t="str">
        <x:v>Cheesecake Maracuyá</x:v>
      </x:c>
      <x:c r="C87" s="70" t="str">
        <x:v>BASE-INCLUSION-MARACUYA</x:v>
      </x:c>
      <x:c r="D87" s="70" t="str">
        <x:v>Inclusión Maracuyá</x:v>
      </x:c>
      <x:c r="E87" s="114" t="n">
        <x:v>0.03</x:v>
      </x:c>
      <x:c r="F87" s="114" t="str">
        <x:v>kg</x:v>
      </x:c>
      <x:c r="G87" s="114" t="n">
        <x:v>0.03</x:v>
      </x:c>
      <x:c r="H87" s="70" t="str">
        <x:v>INSUMO_O_SUBRECETA</x:v>
      </x:c>
      <x:c r="I87" s="70" t="str">
        <x:v>SI</x:v>
      </x:c>
      <x:c r="J87" s="70" t="str">
        <x:v>AL_ENSAMBLAR</x:v>
      </x:c>
      <x:c r="K87" s="71" t="str"/>
    </x:row>
    <x:row r="88">
      <x:c r="A88" s="69" t="str">
        <x:v>CHK-MAR-270</x:v>
      </x:c>
      <x:c r="B88" s="70" t="str">
        <x:v>Cheesecake Maracuyá</x:v>
      </x:c>
      <x:c r="C88" s="70" t="str">
        <x:v>BASE-SALSA-MARACUYA</x:v>
      </x:c>
      <x:c r="D88" s="70" t="str">
        <x:v>Salsa Maracuyá</x:v>
      </x:c>
      <x:c r="E88" s="114" t="n">
        <x:v>0.02</x:v>
      </x:c>
      <x:c r="F88" s="114" t="str">
        <x:v>kg</x:v>
      </x:c>
      <x:c r="G88" s="114" t="n">
        <x:v>0.02</x:v>
      </x:c>
      <x:c r="H88" s="70" t="str">
        <x:v>SUBRECETA</x:v>
      </x:c>
      <x:c r="I88" s="70" t="str">
        <x:v>SI</x:v>
      </x:c>
      <x:c r="J88" s="70" t="str">
        <x:v>AL_ENSAMBLAR</x:v>
      </x:c>
      <x:c r="K88" s="71" t="str"/>
    </x:row>
    <x:row r="89">
      <x:c r="A89" s="69" t="str">
        <x:v>CHK-MAR-270</x:v>
      </x:c>
      <x:c r="B89" s="70" t="str">
        <x:v>Cheesecake Maracuyá</x:v>
      </x:c>
      <x:c r="C89" s="70" t="str">
        <x:v>TOP-MARACUYA</x:v>
      </x:c>
      <x:c r="D89" s="70" t="str">
        <x:v>Topping Maracuyá</x:v>
      </x:c>
      <x:c r="E89" s="114" t="n">
        <x:v>0.01</x:v>
      </x:c>
      <x:c r="F89" s="114" t="str">
        <x:v>kg</x:v>
      </x:c>
      <x:c r="G89" s="114" t="n">
        <x:v>0.01</x:v>
      </x:c>
      <x:c r="H89" s="70" t="str">
        <x:v>INSUMO_O_SUBRECETA</x:v>
      </x:c>
      <x:c r="I89" s="70" t="str">
        <x:v>SI</x:v>
      </x:c>
      <x:c r="J89" s="70" t="str">
        <x:v>AL_ENSAMBLAR</x:v>
      </x:c>
      <x:c r="K89" s="71" t="str"/>
    </x:row>
    <x:row r="90">
      <x:c r="A90" s="69" t="str">
        <x:v>CHK-MAR-270</x:v>
      </x:c>
      <x:c r="B90" s="70" t="str">
        <x:v>Cheesecake Maracuyá</x:v>
      </x:c>
      <x:c r="C90" s="70" t="str">
        <x:v>FIG-HOR-MAR</x:v>
      </x:c>
      <x:c r="D90" s="70" t="str">
        <x:v>Figurita horizontal Maracuyá</x:v>
      </x:c>
      <x:c r="E90" s="114" t="n">
        <x:v>1</x:v>
      </x:c>
      <x:c r="F90" s="114" t="str">
        <x:v>und</x:v>
      </x:c>
      <x:c r="G90" s="114" t="n">
        <x:v>0</x:v>
      </x:c>
      <x:c r="H90" s="70" t="str">
        <x:v>SEMITERMINADO</x:v>
      </x:c>
      <x:c r="I90" s="70" t="str">
        <x:v>SI</x:v>
      </x:c>
      <x:c r="J90" s="70" t="str">
        <x:v>AL_ENSAMBLAR</x:v>
      </x:c>
      <x:c r="K90" s="71" t="str">
        <x:v>Peso pendiente de validar; se consume por unidad.</x:v>
      </x:c>
    </x:row>
    <x:row r="91">
      <x:c r="A91" s="69" t="str">
        <x:v>CHK-LIM-270</x:v>
      </x:c>
      <x:c r="B91" s="70" t="str">
        <x:v>Cheesecake Limón</x:v>
      </x:c>
      <x:c r="C91" s="70" t="str">
        <x:v>BASE-CROCANTE-NEUTRO</x:v>
      </x:c>
      <x:c r="D91" s="70" t="str">
        <x:v>Base crocante</x:v>
      </x:c>
      <x:c r="E91" s="114" t="n">
        <x:v>0.045</x:v>
      </x:c>
      <x:c r="F91" s="114" t="str">
        <x:v>kg</x:v>
      </x:c>
      <x:c r="G91" s="114" t="n">
        <x:v>0.045</x:v>
      </x:c>
      <x:c r="H91" s="70" t="str">
        <x:v>SUBRECETA</x:v>
      </x:c>
      <x:c r="I91" s="70" t="str">
        <x:v>SI</x:v>
      </x:c>
      <x:c r="J91" s="70" t="str">
        <x:v>AL_ENSAMBLAR</x:v>
      </x:c>
      <x:c r="K91" s="71" t="str"/>
    </x:row>
    <x:row r="92">
      <x:c r="A92" s="69" t="str">
        <x:v>CHK-LIM-270</x:v>
      </x:c>
      <x:c r="B92" s="70" t="str">
        <x:v>Cheesecake Limón</x:v>
      </x:c>
      <x:c r="C92" s="70" t="str">
        <x:v>BASE-CHEESECAKE-NEUTRO</x:v>
      </x:c>
      <x:c r="D92" s="70" t="str">
        <x:v>Cheesecake neutro</x:v>
      </x:c>
      <x:c r="E92" s="114" t="n">
        <x:v>0.165</x:v>
      </x:c>
      <x:c r="F92" s="114" t="str">
        <x:v>kg</x:v>
      </x:c>
      <x:c r="G92" s="114" t="n">
        <x:v>0.165</x:v>
      </x:c>
      <x:c r="H92" s="70" t="str">
        <x:v>SUBRECETA</x:v>
      </x:c>
      <x:c r="I92" s="70" t="str">
        <x:v>SI</x:v>
      </x:c>
      <x:c r="J92" s="70" t="str">
        <x:v>AL_ENSAMBLAR</x:v>
      </x:c>
      <x:c r="K92" s="71" t="str"/>
    </x:row>
    <x:row r="93">
      <x:c r="A93" s="69" t="str">
        <x:v>CHK-LIM-270</x:v>
      </x:c>
      <x:c r="B93" s="70" t="str">
        <x:v>Cheesecake Limón</x:v>
      </x:c>
      <x:c r="C93" s="70" t="str">
        <x:v>BASE-INCLUSION-LIMON</x:v>
      </x:c>
      <x:c r="D93" s="70" t="str">
        <x:v>Inclusión Limón</x:v>
      </x:c>
      <x:c r="E93" s="114" t="n">
        <x:v>0.03</x:v>
      </x:c>
      <x:c r="F93" s="114" t="str">
        <x:v>kg</x:v>
      </x:c>
      <x:c r="G93" s="114" t="n">
        <x:v>0.03</x:v>
      </x:c>
      <x:c r="H93" s="70" t="str">
        <x:v>INSUMO_O_SUBRECETA</x:v>
      </x:c>
      <x:c r="I93" s="70" t="str">
        <x:v>SI</x:v>
      </x:c>
      <x:c r="J93" s="70" t="str">
        <x:v>AL_ENSAMBLAR</x:v>
      </x:c>
      <x:c r="K93" s="71" t="str"/>
    </x:row>
    <x:row r="94">
      <x:c r="A94" s="69" t="str">
        <x:v>CHK-LIM-270</x:v>
      </x:c>
      <x:c r="B94" s="70" t="str">
        <x:v>Cheesecake Limón</x:v>
      </x:c>
      <x:c r="C94" s="70" t="str">
        <x:v>BASE-SALSA-LIMON</x:v>
      </x:c>
      <x:c r="D94" s="70" t="str">
        <x:v>Salsa Limón</x:v>
      </x:c>
      <x:c r="E94" s="114" t="n">
        <x:v>0.02</x:v>
      </x:c>
      <x:c r="F94" s="114" t="str">
        <x:v>kg</x:v>
      </x:c>
      <x:c r="G94" s="114" t="n">
        <x:v>0.02</x:v>
      </x:c>
      <x:c r="H94" s="70" t="str">
        <x:v>SUBRECETA</x:v>
      </x:c>
      <x:c r="I94" s="70" t="str">
        <x:v>SI</x:v>
      </x:c>
      <x:c r="J94" s="70" t="str">
        <x:v>AL_ENSAMBLAR</x:v>
      </x:c>
      <x:c r="K94" s="71" t="str"/>
    </x:row>
    <x:row r="95">
      <x:c r="A95" s="69" t="str">
        <x:v>CHK-LIM-270</x:v>
      </x:c>
      <x:c r="B95" s="70" t="str">
        <x:v>Cheesecake Limón</x:v>
      </x:c>
      <x:c r="C95" s="70" t="str">
        <x:v>TOP-RALLADURA-LIMON</x:v>
      </x:c>
      <x:c r="D95" s="70" t="str">
        <x:v>Topping Limón</x:v>
      </x:c>
      <x:c r="E95" s="114" t="n">
        <x:v>0.01</x:v>
      </x:c>
      <x:c r="F95" s="114" t="str">
        <x:v>kg</x:v>
      </x:c>
      <x:c r="G95" s="114" t="n">
        <x:v>0.01</x:v>
      </x:c>
      <x:c r="H95" s="70" t="str">
        <x:v>INSUMO_O_SUBRECETA</x:v>
      </x:c>
      <x:c r="I95" s="70" t="str">
        <x:v>SI</x:v>
      </x:c>
      <x:c r="J95" s="70" t="str">
        <x:v>AL_ENSAMBLAR</x:v>
      </x:c>
      <x:c r="K95" s="71" t="str"/>
    </x:row>
    <x:row r="96">
      <x:c r="A96" s="69" t="str">
        <x:v>CHK-LIM-270</x:v>
      </x:c>
      <x:c r="B96" s="70" t="str">
        <x:v>Cheesecake Limón</x:v>
      </x:c>
      <x:c r="C96" s="70" t="str">
        <x:v>FIG-HOR-LIM</x:v>
      </x:c>
      <x:c r="D96" s="70" t="str">
        <x:v>Figurita horizontal Limón</x:v>
      </x:c>
      <x:c r="E96" s="114" t="n">
        <x:v>1</x:v>
      </x:c>
      <x:c r="F96" s="114" t="str">
        <x:v>und</x:v>
      </x:c>
      <x:c r="G96" s="114" t="n">
        <x:v>0</x:v>
      </x:c>
      <x:c r="H96" s="70" t="str">
        <x:v>SEMITERMINADO</x:v>
      </x:c>
      <x:c r="I96" s="70" t="str">
        <x:v>SI</x:v>
      </x:c>
      <x:c r="J96" s="70" t="str">
        <x:v>AL_ENSAMBLAR</x:v>
      </x:c>
      <x:c r="K96" s="71" t="str">
        <x:v>Peso pendiente de validar; se consume por unidad.</x:v>
      </x:c>
    </x:row>
    <x:row r="97">
      <x:c r="A97" s="69" t="str">
        <x:v>CHK-BAN-270</x:v>
      </x:c>
      <x:c r="B97" s="70" t="str">
        <x:v>Cheesecake Banano</x:v>
      </x:c>
      <x:c r="C97" s="70" t="str">
        <x:v>BASE-CROCANTE-SALTIN</x:v>
      </x:c>
      <x:c r="D97" s="70" t="str">
        <x:v>Base crocante</x:v>
      </x:c>
      <x:c r="E97" s="114" t="n">
        <x:v>0.045</x:v>
      </x:c>
      <x:c r="F97" s="114" t="str">
        <x:v>kg</x:v>
      </x:c>
      <x:c r="G97" s="114" t="n">
        <x:v>0.045</x:v>
      </x:c>
      <x:c r="H97" s="70" t="str">
        <x:v>SUBRECETA</x:v>
      </x:c>
      <x:c r="I97" s="70" t="str">
        <x:v>SI</x:v>
      </x:c>
      <x:c r="J97" s="70" t="str">
        <x:v>AL_ENSAMBLAR</x:v>
      </x:c>
      <x:c r="K97" s="71" t="str"/>
    </x:row>
    <x:row r="98">
      <x:c r="A98" s="69" t="str">
        <x:v>CHK-BAN-270</x:v>
      </x:c>
      <x:c r="B98" s="70" t="str">
        <x:v>Cheesecake Banano</x:v>
      </x:c>
      <x:c r="C98" s="70" t="str">
        <x:v>BASE-CHEESECAKE-NEUTRO</x:v>
      </x:c>
      <x:c r="D98" s="70" t="str">
        <x:v>Cheesecake neutro</x:v>
      </x:c>
      <x:c r="E98" s="114" t="n">
        <x:v>0.165</x:v>
      </x:c>
      <x:c r="F98" s="114" t="str">
        <x:v>kg</x:v>
      </x:c>
      <x:c r="G98" s="114" t="n">
        <x:v>0.165</x:v>
      </x:c>
      <x:c r="H98" s="70" t="str">
        <x:v>SUBRECETA</x:v>
      </x:c>
      <x:c r="I98" s="70" t="str">
        <x:v>SI</x:v>
      </x:c>
      <x:c r="J98" s="70" t="str">
        <x:v>AL_ENSAMBLAR</x:v>
      </x:c>
      <x:c r="K98" s="71" t="str"/>
    </x:row>
    <x:row r="99">
      <x:c r="A99" s="69" t="str">
        <x:v>CHK-BAN-270</x:v>
      </x:c>
      <x:c r="B99" s="70" t="str">
        <x:v>Cheesecake Banano</x:v>
      </x:c>
      <x:c r="C99" s="70" t="str">
        <x:v>BASE-INCLUSION-BANANO</x:v>
      </x:c>
      <x:c r="D99" s="70" t="str">
        <x:v>Inclusión Banano</x:v>
      </x:c>
      <x:c r="E99" s="114" t="n">
        <x:v>0.03</x:v>
      </x:c>
      <x:c r="F99" s="114" t="str">
        <x:v>kg</x:v>
      </x:c>
      <x:c r="G99" s="114" t="n">
        <x:v>0.03</x:v>
      </x:c>
      <x:c r="H99" s="70" t="str">
        <x:v>INSUMO_O_SUBRECETA</x:v>
      </x:c>
      <x:c r="I99" s="70" t="str">
        <x:v>SI</x:v>
      </x:c>
      <x:c r="J99" s="70" t="str">
        <x:v>AL_ENSAMBLAR</x:v>
      </x:c>
      <x:c r="K99" s="71" t="str"/>
    </x:row>
    <x:row r="100">
      <x:c r="A100" s="69" t="str">
        <x:v>CHK-BAN-270</x:v>
      </x:c>
      <x:c r="B100" s="70" t="str">
        <x:v>Cheesecake Banano</x:v>
      </x:c>
      <x:c r="C100" s="70" t="str">
        <x:v>BASE-SALSA-BANANO</x:v>
      </x:c>
      <x:c r="D100" s="70" t="str">
        <x:v>Salsa Banano</x:v>
      </x:c>
      <x:c r="E100" s="114" t="n">
        <x:v>0.02</x:v>
      </x:c>
      <x:c r="F100" s="114" t="str">
        <x:v>kg</x:v>
      </x:c>
      <x:c r="G100" s="114" t="n">
        <x:v>0.02</x:v>
      </x:c>
      <x:c r="H100" s="70" t="str">
        <x:v>SUBRECETA</x:v>
      </x:c>
      <x:c r="I100" s="70" t="str">
        <x:v>SI</x:v>
      </x:c>
      <x:c r="J100" s="70" t="str">
        <x:v>AL_ENSAMBLAR</x:v>
      </x:c>
      <x:c r="K100" s="71" t="str"/>
    </x:row>
    <x:row r="101">
      <x:c r="A101" s="69" t="str">
        <x:v>CHK-BAN-270</x:v>
      </x:c>
      <x:c r="B101" s="70" t="str">
        <x:v>Cheesecake Banano</x:v>
      </x:c>
      <x:c r="C101" s="70" t="str">
        <x:v>TOP-BANANO</x:v>
      </x:c>
      <x:c r="D101" s="70" t="str">
        <x:v>Topping Banano</x:v>
      </x:c>
      <x:c r="E101" s="114" t="n">
        <x:v>0.01</x:v>
      </x:c>
      <x:c r="F101" s="114" t="str">
        <x:v>kg</x:v>
      </x:c>
      <x:c r="G101" s="114" t="n">
        <x:v>0.01</x:v>
      </x:c>
      <x:c r="H101" s="70" t="str">
        <x:v>INSUMO_O_SUBRECETA</x:v>
      </x:c>
      <x:c r="I101" s="70" t="str">
        <x:v>SI</x:v>
      </x:c>
      <x:c r="J101" s="70" t="str">
        <x:v>AL_ENSAMBLAR</x:v>
      </x:c>
      <x:c r="K101" s="71" t="str"/>
    </x:row>
    <x:row r="102">
      <x:c r="A102" s="69" t="str">
        <x:v>CHK-BAN-270</x:v>
      </x:c>
      <x:c r="B102" s="70" t="str">
        <x:v>Cheesecake Banano</x:v>
      </x:c>
      <x:c r="C102" s="70" t="str">
        <x:v>FIG-HOR-BAN</x:v>
      </x:c>
      <x:c r="D102" s="70" t="str">
        <x:v>Figurita horizontal Banano</x:v>
      </x:c>
      <x:c r="E102" s="114" t="n">
        <x:v>1</x:v>
      </x:c>
      <x:c r="F102" s="114" t="str">
        <x:v>und</x:v>
      </x:c>
      <x:c r="G102" s="114" t="n">
        <x:v>0</x:v>
      </x:c>
      <x:c r="H102" s="70" t="str">
        <x:v>SEMITERMINADO</x:v>
      </x:c>
      <x:c r="I102" s="70" t="str">
        <x:v>SI</x:v>
      </x:c>
      <x:c r="J102" s="70" t="str">
        <x:v>AL_ENSAMBLAR</x:v>
      </x:c>
      <x:c r="K102" s="71" t="str">
        <x:v>Peso pendiente de validar; se consume por unidad.</x:v>
      </x:c>
    </x:row>
    <x:row r="103">
      <x:c r="A103" s="69" t="str">
        <x:v>CHK-DUR-270</x:v>
      </x:c>
      <x:c r="B103" s="70" t="str">
        <x:v>Cheesecake Durazno</x:v>
      </x:c>
      <x:c r="C103" s="70" t="str">
        <x:v>BASE-CROCANTE-NEUTRO</x:v>
      </x:c>
      <x:c r="D103" s="70" t="str">
        <x:v>Base crocante</x:v>
      </x:c>
      <x:c r="E103" s="114" t="n">
        <x:v>0.045</x:v>
      </x:c>
      <x:c r="F103" s="114" t="str">
        <x:v>kg</x:v>
      </x:c>
      <x:c r="G103" s="114" t="n">
        <x:v>0.045</x:v>
      </x:c>
      <x:c r="H103" s="70" t="str">
        <x:v>SUBRECETA</x:v>
      </x:c>
      <x:c r="I103" s="70" t="str">
        <x:v>SI</x:v>
      </x:c>
      <x:c r="J103" s="70" t="str">
        <x:v>AL_ENSAMBLAR</x:v>
      </x:c>
      <x:c r="K103" s="71" t="str"/>
    </x:row>
    <x:row r="104">
      <x:c r="A104" s="69" t="str">
        <x:v>CHK-DUR-270</x:v>
      </x:c>
      <x:c r="B104" s="70" t="str">
        <x:v>Cheesecake Durazno</x:v>
      </x:c>
      <x:c r="C104" s="70" t="str">
        <x:v>BASE-CHEESECAKE-NEUTRO</x:v>
      </x:c>
      <x:c r="D104" s="70" t="str">
        <x:v>Cheesecake neutro</x:v>
      </x:c>
      <x:c r="E104" s="114" t="n">
        <x:v>0.165</x:v>
      </x:c>
      <x:c r="F104" s="114" t="str">
        <x:v>kg</x:v>
      </x:c>
      <x:c r="G104" s="114" t="n">
        <x:v>0.165</x:v>
      </x:c>
      <x:c r="H104" s="70" t="str">
        <x:v>SUBRECETA</x:v>
      </x:c>
      <x:c r="I104" s="70" t="str">
        <x:v>SI</x:v>
      </x:c>
      <x:c r="J104" s="70" t="str">
        <x:v>AL_ENSAMBLAR</x:v>
      </x:c>
      <x:c r="K104" s="71" t="str"/>
    </x:row>
    <x:row r="105">
      <x:c r="A105" s="69" t="str">
        <x:v>CHK-DUR-270</x:v>
      </x:c>
      <x:c r="B105" s="70" t="str">
        <x:v>Cheesecake Durazno</x:v>
      </x:c>
      <x:c r="C105" s="70" t="str">
        <x:v>BASE-INCLUSION-DURAZNO</x:v>
      </x:c>
      <x:c r="D105" s="70" t="str">
        <x:v>Inclusión Durazno</x:v>
      </x:c>
      <x:c r="E105" s="114" t="n">
        <x:v>0.03</x:v>
      </x:c>
      <x:c r="F105" s="114" t="str">
        <x:v>kg</x:v>
      </x:c>
      <x:c r="G105" s="114" t="n">
        <x:v>0.03</x:v>
      </x:c>
      <x:c r="H105" s="70" t="str">
        <x:v>INSUMO_O_SUBRECETA</x:v>
      </x:c>
      <x:c r="I105" s="70" t="str">
        <x:v>SI</x:v>
      </x:c>
      <x:c r="J105" s="70" t="str">
        <x:v>AL_ENSAMBLAR</x:v>
      </x:c>
      <x:c r="K105" s="71" t="str"/>
    </x:row>
    <x:row r="106">
      <x:c r="A106" s="69" t="str">
        <x:v>CHK-DUR-270</x:v>
      </x:c>
      <x:c r="B106" s="70" t="str">
        <x:v>Cheesecake Durazno</x:v>
      </x:c>
      <x:c r="C106" s="70" t="str">
        <x:v>BASE-SALSA-DURAZNO</x:v>
      </x:c>
      <x:c r="D106" s="70" t="str">
        <x:v>Salsa Durazno</x:v>
      </x:c>
      <x:c r="E106" s="114" t="n">
        <x:v>0.02</x:v>
      </x:c>
      <x:c r="F106" s="114" t="str">
        <x:v>kg</x:v>
      </x:c>
      <x:c r="G106" s="114" t="n">
        <x:v>0.02</x:v>
      </x:c>
      <x:c r="H106" s="70" t="str">
        <x:v>SUBRECETA</x:v>
      </x:c>
      <x:c r="I106" s="70" t="str">
        <x:v>SI</x:v>
      </x:c>
      <x:c r="J106" s="70" t="str">
        <x:v>AL_ENSAMBLAR</x:v>
      </x:c>
      <x:c r="K106" s="71" t="str"/>
    </x:row>
    <x:row r="107">
      <x:c r="A107" s="69" t="str">
        <x:v>CHK-DUR-270</x:v>
      </x:c>
      <x:c r="B107" s="70" t="str">
        <x:v>Cheesecake Durazno</x:v>
      </x:c>
      <x:c r="C107" s="70" t="str">
        <x:v>TOP-DURAZNO</x:v>
      </x:c>
      <x:c r="D107" s="70" t="str">
        <x:v>Topping Durazno</x:v>
      </x:c>
      <x:c r="E107" s="114" t="n">
        <x:v>0.01</x:v>
      </x:c>
      <x:c r="F107" s="114" t="str">
        <x:v>kg</x:v>
      </x:c>
      <x:c r="G107" s="114" t="n">
        <x:v>0.01</x:v>
      </x:c>
      <x:c r="H107" s="70" t="str">
        <x:v>INSUMO_O_SUBRECETA</x:v>
      </x:c>
      <x:c r="I107" s="70" t="str">
        <x:v>SI</x:v>
      </x:c>
      <x:c r="J107" s="70" t="str">
        <x:v>AL_ENSAMBLAR</x:v>
      </x:c>
      <x:c r="K107" s="71" t="str"/>
    </x:row>
    <x:row r="108">
      <x:c r="A108" s="69" t="str">
        <x:v>CHK-DUR-270</x:v>
      </x:c>
      <x:c r="B108" s="70" t="str">
        <x:v>Cheesecake Durazno</x:v>
      </x:c>
      <x:c r="C108" s="70" t="str">
        <x:v>FIG-HOR-DUR</x:v>
      </x:c>
      <x:c r="D108" s="70" t="str">
        <x:v>Figurita horizontal Durazno</x:v>
      </x:c>
      <x:c r="E108" s="114" t="n">
        <x:v>1</x:v>
      </x:c>
      <x:c r="F108" s="114" t="str">
        <x:v>und</x:v>
      </x:c>
      <x:c r="G108" s="114" t="n">
        <x:v>0</x:v>
      </x:c>
      <x:c r="H108" s="70" t="str">
        <x:v>SEMITERMINADO</x:v>
      </x:c>
      <x:c r="I108" s="70" t="str">
        <x:v>SI</x:v>
      </x:c>
      <x:c r="J108" s="70" t="str">
        <x:v>AL_ENSAMBLAR</x:v>
      </x:c>
      <x:c r="K108" s="71" t="str">
        <x:v>Peso pendiente de validar; se consume por unidad.</x:v>
      </x:c>
    </x:row>
    <x:row r="109">
      <x:c r="A109" s="69" t="str">
        <x:v>CHK-MNM-270</x:v>
      </x:c>
      <x:c r="B109" s="70" t="str">
        <x:v>Cheesecake M&amp;M</x:v>
      </x:c>
      <x:c r="C109" s="70" t="str">
        <x:v>BASE-CROCANTE-CHOCOLATE</x:v>
      </x:c>
      <x:c r="D109" s="70" t="str">
        <x:v>Base crocante</x:v>
      </x:c>
      <x:c r="E109" s="114" t="n">
        <x:v>0.045</x:v>
      </x:c>
      <x:c r="F109" s="114" t="str">
        <x:v>kg</x:v>
      </x:c>
      <x:c r="G109" s="114" t="n">
        <x:v>0.045</x:v>
      </x:c>
      <x:c r="H109" s="70" t="str">
        <x:v>SUBRECETA</x:v>
      </x:c>
      <x:c r="I109" s="70" t="str">
        <x:v>SI</x:v>
      </x:c>
      <x:c r="J109" s="70" t="str">
        <x:v>AL_ENSAMBLAR</x:v>
      </x:c>
      <x:c r="K109" s="71" t="str"/>
    </x:row>
    <x:row r="110">
      <x:c r="A110" s="69" t="str">
        <x:v>CHK-MNM-270</x:v>
      </x:c>
      <x:c r="B110" s="70" t="str">
        <x:v>Cheesecake M&amp;M</x:v>
      </x:c>
      <x:c r="C110" s="70" t="str">
        <x:v>BASE-CHEESECAKE-NEUTRO</x:v>
      </x:c>
      <x:c r="D110" s="70" t="str">
        <x:v>Cheesecake neutro</x:v>
      </x:c>
      <x:c r="E110" s="114" t="n">
        <x:v>0.165</x:v>
      </x:c>
      <x:c r="F110" s="114" t="str">
        <x:v>kg</x:v>
      </x:c>
      <x:c r="G110" s="114" t="n">
        <x:v>0.165</x:v>
      </x:c>
      <x:c r="H110" s="70" t="str">
        <x:v>SUBRECETA</x:v>
      </x:c>
      <x:c r="I110" s="70" t="str">
        <x:v>SI</x:v>
      </x:c>
      <x:c r="J110" s="70" t="str">
        <x:v>AL_ENSAMBLAR</x:v>
      </x:c>
      <x:c r="K110" s="71" t="str"/>
    </x:row>
    <x:row r="111">
      <x:c r="A111" s="69" t="str">
        <x:v>CHK-MNM-270</x:v>
      </x:c>
      <x:c r="B111" s="70" t="str">
        <x:v>Cheesecake M&amp;M</x:v>
      </x:c>
      <x:c r="C111" s="70" t="str">
        <x:v>INS-MNM</x:v>
      </x:c>
      <x:c r="D111" s="70" t="str">
        <x:v>Inclusión M&amp;M</x:v>
      </x:c>
      <x:c r="E111" s="114" t="n">
        <x:v>0.03</x:v>
      </x:c>
      <x:c r="F111" s="114" t="str">
        <x:v>kg</x:v>
      </x:c>
      <x:c r="G111" s="114" t="n">
        <x:v>0.03</x:v>
      </x:c>
      <x:c r="H111" s="70" t="str">
        <x:v>INSUMO_O_SUBRECETA</x:v>
      </x:c>
      <x:c r="I111" s="70" t="str">
        <x:v>SI</x:v>
      </x:c>
      <x:c r="J111" s="70" t="str">
        <x:v>AL_ENSAMBLAR</x:v>
      </x:c>
      <x:c r="K111" s="71" t="str"/>
    </x:row>
    <x:row r="112">
      <x:c r="A112" s="69" t="str">
        <x:v>CHK-MNM-270</x:v>
      </x:c>
      <x:c r="B112" s="70" t="str">
        <x:v>Cheesecake M&amp;M</x:v>
      </x:c>
      <x:c r="C112" s="70" t="str">
        <x:v>BASE-SALSA-CHOCOLATE</x:v>
      </x:c>
      <x:c r="D112" s="70" t="str">
        <x:v>Salsa M&amp;M</x:v>
      </x:c>
      <x:c r="E112" s="114" t="n">
        <x:v>0.02</x:v>
      </x:c>
      <x:c r="F112" s="114" t="str">
        <x:v>kg</x:v>
      </x:c>
      <x:c r="G112" s="114" t="n">
        <x:v>0.02</x:v>
      </x:c>
      <x:c r="H112" s="70" t="str">
        <x:v>SUBRECETA</x:v>
      </x:c>
      <x:c r="I112" s="70" t="str">
        <x:v>SI</x:v>
      </x:c>
      <x:c r="J112" s="70" t="str">
        <x:v>AL_ENSAMBLAR</x:v>
      </x:c>
      <x:c r="K112" s="71" t="str"/>
    </x:row>
    <x:row r="113">
      <x:c r="A113" s="69" t="str">
        <x:v>CHK-MNM-270</x:v>
      </x:c>
      <x:c r="B113" s="70" t="str">
        <x:v>Cheesecake M&amp;M</x:v>
      </x:c>
      <x:c r="C113" s="70" t="str">
        <x:v>TOP-MNM</x:v>
      </x:c>
      <x:c r="D113" s="70" t="str">
        <x:v>Topping M&amp;M</x:v>
      </x:c>
      <x:c r="E113" s="114" t="n">
        <x:v>0.01</x:v>
      </x:c>
      <x:c r="F113" s="114" t="str">
        <x:v>kg</x:v>
      </x:c>
      <x:c r="G113" s="114" t="n">
        <x:v>0.01</x:v>
      </x:c>
      <x:c r="H113" s="70" t="str">
        <x:v>INSUMO_O_SUBRECETA</x:v>
      </x:c>
      <x:c r="I113" s="70" t="str">
        <x:v>SI</x:v>
      </x:c>
      <x:c r="J113" s="70" t="str">
        <x:v>AL_ENSAMBLAR</x:v>
      </x:c>
      <x:c r="K113" s="71" t="str"/>
    </x:row>
    <x:row r="114">
      <x:c r="A114" s="69" t="str">
        <x:v>CHK-MNM-270</x:v>
      </x:c>
      <x:c r="B114" s="70" t="str">
        <x:v>Cheesecake M&amp;M</x:v>
      </x:c>
      <x:c r="C114" s="70" t="str">
        <x:v>FIG-HOR-MNM</x:v>
      </x:c>
      <x:c r="D114" s="70" t="str">
        <x:v>Figurita horizontal M&amp;M</x:v>
      </x:c>
      <x:c r="E114" s="114" t="n">
        <x:v>1</x:v>
      </x:c>
      <x:c r="F114" s="114" t="str">
        <x:v>und</x:v>
      </x:c>
      <x:c r="G114" s="114" t="n">
        <x:v>0</x:v>
      </x:c>
      <x:c r="H114" s="70" t="str">
        <x:v>SEMITERMINADO</x:v>
      </x:c>
      <x:c r="I114" s="70" t="str">
        <x:v>SI</x:v>
      </x:c>
      <x:c r="J114" s="70" t="str">
        <x:v>AL_ENSAMBLAR</x:v>
      </x:c>
      <x:c r="K114" s="71" t="str">
        <x:v>Peso pendiente de validar; se consume por unidad.</x:v>
      </x:c>
    </x:row>
    <x:row r="115">
      <x:c r="A115" s="69" t="str">
        <x:v>CHK-ORE-270</x:v>
      </x:c>
      <x:c r="B115" s="70" t="str">
        <x:v>Cheesecake Oreo</x:v>
      </x:c>
      <x:c r="C115" s="70" t="str">
        <x:v>BASE-CROCANTE-OREO</x:v>
      </x:c>
      <x:c r="D115" s="70" t="str">
        <x:v>Base crocante</x:v>
      </x:c>
      <x:c r="E115" s="114" t="n">
        <x:v>0.045</x:v>
      </x:c>
      <x:c r="F115" s="114" t="str">
        <x:v>kg</x:v>
      </x:c>
      <x:c r="G115" s="114" t="n">
        <x:v>0.045</x:v>
      </x:c>
      <x:c r="H115" s="70" t="str">
        <x:v>SUBRECETA</x:v>
      </x:c>
      <x:c r="I115" s="70" t="str">
        <x:v>SI</x:v>
      </x:c>
      <x:c r="J115" s="70" t="str">
        <x:v>AL_ENSAMBLAR</x:v>
      </x:c>
      <x:c r="K115" s="71" t="str"/>
    </x:row>
    <x:row r="116">
      <x:c r="A116" s="69" t="str">
        <x:v>CHK-ORE-270</x:v>
      </x:c>
      <x:c r="B116" s="70" t="str">
        <x:v>Cheesecake Oreo</x:v>
      </x:c>
      <x:c r="C116" s="70" t="str">
        <x:v>BASE-CHEESECAKE-NEUTRO</x:v>
      </x:c>
      <x:c r="D116" s="70" t="str">
        <x:v>Cheesecake neutro</x:v>
      </x:c>
      <x:c r="E116" s="114" t="n">
        <x:v>0.165</x:v>
      </x:c>
      <x:c r="F116" s="114" t="str">
        <x:v>kg</x:v>
      </x:c>
      <x:c r="G116" s="114" t="n">
        <x:v>0.165</x:v>
      </x:c>
      <x:c r="H116" s="70" t="str">
        <x:v>SUBRECETA</x:v>
      </x:c>
      <x:c r="I116" s="70" t="str">
        <x:v>SI</x:v>
      </x:c>
      <x:c r="J116" s="70" t="str">
        <x:v>AL_ENSAMBLAR</x:v>
      </x:c>
      <x:c r="K116" s="71" t="str"/>
    </x:row>
    <x:row r="117">
      <x:c r="A117" s="69" t="str">
        <x:v>CHK-ORE-270</x:v>
      </x:c>
      <x:c r="B117" s="70" t="str">
        <x:v>Cheesecake Oreo</x:v>
      </x:c>
      <x:c r="C117" s="70" t="str">
        <x:v>INS-OREO-TRITURADA</x:v>
      </x:c>
      <x:c r="D117" s="70" t="str">
        <x:v>Inclusión Oreo</x:v>
      </x:c>
      <x:c r="E117" s="114" t="n">
        <x:v>0.03</x:v>
      </x:c>
      <x:c r="F117" s="114" t="str">
        <x:v>kg</x:v>
      </x:c>
      <x:c r="G117" s="114" t="n">
        <x:v>0.03</x:v>
      </x:c>
      <x:c r="H117" s="70" t="str">
        <x:v>INSUMO_O_SUBRECETA</x:v>
      </x:c>
      <x:c r="I117" s="70" t="str">
        <x:v>SI</x:v>
      </x:c>
      <x:c r="J117" s="70" t="str">
        <x:v>AL_ENSAMBLAR</x:v>
      </x:c>
      <x:c r="K117" s="71" t="str"/>
    </x:row>
    <x:row r="118">
      <x:c r="A118" s="69" t="str">
        <x:v>CHK-ORE-270</x:v>
      </x:c>
      <x:c r="B118" s="70" t="str">
        <x:v>Cheesecake Oreo</x:v>
      </x:c>
      <x:c r="C118" s="70" t="str">
        <x:v>BASE-SALSA-CHOCOLATE</x:v>
      </x:c>
      <x:c r="D118" s="70" t="str">
        <x:v>Salsa Oreo</x:v>
      </x:c>
      <x:c r="E118" s="114" t="n">
        <x:v>0.02</x:v>
      </x:c>
      <x:c r="F118" s="114" t="str">
        <x:v>kg</x:v>
      </x:c>
      <x:c r="G118" s="114" t="n">
        <x:v>0.02</x:v>
      </x:c>
      <x:c r="H118" s="70" t="str">
        <x:v>SUBRECETA</x:v>
      </x:c>
      <x:c r="I118" s="70" t="str">
        <x:v>SI</x:v>
      </x:c>
      <x:c r="J118" s="70" t="str">
        <x:v>AL_ENSAMBLAR</x:v>
      </x:c>
      <x:c r="K118" s="71" t="str"/>
    </x:row>
    <x:row r="119">
      <x:c r="A119" s="69" t="str">
        <x:v>CHK-ORE-270</x:v>
      </x:c>
      <x:c r="B119" s="70" t="str">
        <x:v>Cheesecake Oreo</x:v>
      </x:c>
      <x:c r="C119" s="70" t="str">
        <x:v>TOP-OREO-TRITURADA</x:v>
      </x:c>
      <x:c r="D119" s="70" t="str">
        <x:v>Topping Oreo</x:v>
      </x:c>
      <x:c r="E119" s="114" t="n">
        <x:v>0.01</x:v>
      </x:c>
      <x:c r="F119" s="114" t="str">
        <x:v>kg</x:v>
      </x:c>
      <x:c r="G119" s="114" t="n">
        <x:v>0.01</x:v>
      </x:c>
      <x:c r="H119" s="70" t="str">
        <x:v>INSUMO_O_SUBRECETA</x:v>
      </x:c>
      <x:c r="I119" s="70" t="str">
        <x:v>SI</x:v>
      </x:c>
      <x:c r="J119" s="70" t="str">
        <x:v>AL_ENSAMBLAR</x:v>
      </x:c>
      <x:c r="K119" s="71" t="str"/>
    </x:row>
    <x:row r="120">
      <x:c r="A120" s="69" t="str">
        <x:v>CHK-ORE-270</x:v>
      </x:c>
      <x:c r="B120" s="70" t="str">
        <x:v>Cheesecake Oreo</x:v>
      </x:c>
      <x:c r="C120" s="70" t="str">
        <x:v>FIG-HOR-ORE</x:v>
      </x:c>
      <x:c r="D120" s="70" t="str">
        <x:v>Figurita horizontal Oreo</x:v>
      </x:c>
      <x:c r="E120" s="114" t="n">
        <x:v>1</x:v>
      </x:c>
      <x:c r="F120" s="114" t="str">
        <x:v>und</x:v>
      </x:c>
      <x:c r="G120" s="114" t="n">
        <x:v>0</x:v>
      </x:c>
      <x:c r="H120" s="70" t="str">
        <x:v>SEMITERMINADO</x:v>
      </x:c>
      <x:c r="I120" s="70" t="str">
        <x:v>SI</x:v>
      </x:c>
      <x:c r="J120" s="70" t="str">
        <x:v>AL_ENSAMBLAR</x:v>
      </x:c>
      <x:c r="K120" s="71" t="str">
        <x:v>Peso pendiente de validar; se consume por unidad.</x:v>
      </x:c>
    </x:row>
    <x:row r="121">
      <x:c r="A121" s="69" t="str">
        <x:v>CHK-CSL-270</x:v>
      </x:c>
      <x:c r="B121" s="70" t="str">
        <x:v>Cheesecake Caramelo salado</x:v>
      </x:c>
      <x:c r="C121" s="70" t="str">
        <x:v>BASE-CROCANTE-SALTIN</x:v>
      </x:c>
      <x:c r="D121" s="70" t="str">
        <x:v>Base crocante</x:v>
      </x:c>
      <x:c r="E121" s="114" t="n">
        <x:v>0.045</x:v>
      </x:c>
      <x:c r="F121" s="114" t="str">
        <x:v>kg</x:v>
      </x:c>
      <x:c r="G121" s="114" t="n">
        <x:v>0.045</x:v>
      </x:c>
      <x:c r="H121" s="70" t="str">
        <x:v>SUBRECETA</x:v>
      </x:c>
      <x:c r="I121" s="70" t="str">
        <x:v>SI</x:v>
      </x:c>
      <x:c r="J121" s="70" t="str">
        <x:v>AL_ENSAMBLAR</x:v>
      </x:c>
      <x:c r="K121" s="71" t="str"/>
    </x:row>
    <x:row r="122">
      <x:c r="A122" s="69" t="str">
        <x:v>CHK-CSL-270</x:v>
      </x:c>
      <x:c r="B122" s="70" t="str">
        <x:v>Cheesecake Caramelo salado</x:v>
      </x:c>
      <x:c r="C122" s="70" t="str">
        <x:v>BASE-CHEESECAKE-NEUTRO</x:v>
      </x:c>
      <x:c r="D122" s="70" t="str">
        <x:v>Cheesecake neutro</x:v>
      </x:c>
      <x:c r="E122" s="114" t="n">
        <x:v>0.165</x:v>
      </x:c>
      <x:c r="F122" s="114" t="str">
        <x:v>kg</x:v>
      </x:c>
      <x:c r="G122" s="114" t="n">
        <x:v>0.165</x:v>
      </x:c>
      <x:c r="H122" s="70" t="str">
        <x:v>SUBRECETA</x:v>
      </x:c>
      <x:c r="I122" s="70" t="str">
        <x:v>SI</x:v>
      </x:c>
      <x:c r="J122" s="70" t="str">
        <x:v>AL_ENSAMBLAR</x:v>
      </x:c>
      <x:c r="K122" s="71" t="str"/>
    </x:row>
    <x:row r="123">
      <x:c r="A123" s="69" t="str">
        <x:v>CHK-CSL-270</x:v>
      </x:c>
      <x:c r="B123" s="70" t="str">
        <x:v>Cheesecake Caramelo salado</x:v>
      </x:c>
      <x:c r="C123" s="70" t="str">
        <x:v>BASE-CARAMELO-SALADO</x:v>
      </x:c>
      <x:c r="D123" s="70" t="str">
        <x:v>Inclusión Caramelo salado</x:v>
      </x:c>
      <x:c r="E123" s="114" t="n">
        <x:v>0.03</x:v>
      </x:c>
      <x:c r="F123" s="114" t="str">
        <x:v>kg</x:v>
      </x:c>
      <x:c r="G123" s="114" t="n">
        <x:v>0.03</x:v>
      </x:c>
      <x:c r="H123" s="70" t="str">
        <x:v>INSUMO_O_SUBRECETA</x:v>
      </x:c>
      <x:c r="I123" s="70" t="str">
        <x:v>SI</x:v>
      </x:c>
      <x:c r="J123" s="70" t="str">
        <x:v>AL_ENSAMBLAR</x:v>
      </x:c>
      <x:c r="K123" s="71" t="str"/>
    </x:row>
    <x:row r="124">
      <x:c r="A124" s="69" t="str">
        <x:v>CHK-CSL-270</x:v>
      </x:c>
      <x:c r="B124" s="70" t="str">
        <x:v>Cheesecake Caramelo salado</x:v>
      </x:c>
      <x:c r="C124" s="70" t="str">
        <x:v>BASE-CARAMELO-SALADO</x:v>
      </x:c>
      <x:c r="D124" s="70" t="str">
        <x:v>Salsa Caramelo salado</x:v>
      </x:c>
      <x:c r="E124" s="114" t="n">
        <x:v>0.02</x:v>
      </x:c>
      <x:c r="F124" s="114" t="str">
        <x:v>kg</x:v>
      </x:c>
      <x:c r="G124" s="114" t="n">
        <x:v>0.02</x:v>
      </x:c>
      <x:c r="H124" s="70" t="str">
        <x:v>SUBRECETA</x:v>
      </x:c>
      <x:c r="I124" s="70" t="str">
        <x:v>SI</x:v>
      </x:c>
      <x:c r="J124" s="70" t="str">
        <x:v>AL_ENSAMBLAR</x:v>
      </x:c>
      <x:c r="K124" s="71" t="str"/>
    </x:row>
    <x:row r="125">
      <x:c r="A125" s="69" t="str">
        <x:v>CHK-CSL-270</x:v>
      </x:c>
      <x:c r="B125" s="70" t="str">
        <x:v>Cheesecake Caramelo salado</x:v>
      </x:c>
      <x:c r="C125" s="70" t="str">
        <x:v>TOP-CROCANTE-CARAMELO</x:v>
      </x:c>
      <x:c r="D125" s="70" t="str">
        <x:v>Topping Caramelo salado</x:v>
      </x:c>
      <x:c r="E125" s="114" t="n">
        <x:v>0.01</x:v>
      </x:c>
      <x:c r="F125" s="114" t="str">
        <x:v>kg</x:v>
      </x:c>
      <x:c r="G125" s="114" t="n">
        <x:v>0.01</x:v>
      </x:c>
      <x:c r="H125" s="70" t="str">
        <x:v>INSUMO_O_SUBRECETA</x:v>
      </x:c>
      <x:c r="I125" s="70" t="str">
        <x:v>SI</x:v>
      </x:c>
      <x:c r="J125" s="70" t="str">
        <x:v>AL_ENSAMBLAR</x:v>
      </x:c>
      <x:c r="K125" s="71" t="str"/>
    </x:row>
    <x:row r="126">
      <x:c r="A126" s="69" t="str">
        <x:v>CHK-CSL-270</x:v>
      </x:c>
      <x:c r="B126" s="70" t="str">
        <x:v>Cheesecake Caramelo salado</x:v>
      </x:c>
      <x:c r="C126" s="70" t="str">
        <x:v>FIG-HOR-CSL</x:v>
      </x:c>
      <x:c r="D126" s="70" t="str">
        <x:v>Figurita horizontal Caramelo salado</x:v>
      </x:c>
      <x:c r="E126" s="114" t="n">
        <x:v>1</x:v>
      </x:c>
      <x:c r="F126" s="114" t="str">
        <x:v>und</x:v>
      </x:c>
      <x:c r="G126" s="114" t="n">
        <x:v>0</x:v>
      </x:c>
      <x:c r="H126" s="70" t="str">
        <x:v>SEMITERMINADO</x:v>
      </x:c>
      <x:c r="I126" s="70" t="str">
        <x:v>SI</x:v>
      </x:c>
      <x:c r="J126" s="70" t="str">
        <x:v>AL_ENSAMBLAR</x:v>
      </x:c>
      <x:c r="K126" s="71" t="str">
        <x:v>Peso pendiente de validar; se consume por unidad.</x:v>
      </x:c>
    </x:row>
    <x:row r="127">
      <x:c r="A127" s="69" t="str">
        <x:v>CHK-NUT-270</x:v>
      </x:c>
      <x:c r="B127" s="70" t="str">
        <x:v>Cheesecake Nutella</x:v>
      </x:c>
      <x:c r="C127" s="70" t="str">
        <x:v>BASE-CROCANTE-CHOCOLATE</x:v>
      </x:c>
      <x:c r="D127" s="70" t="str">
        <x:v>Base crocante</x:v>
      </x:c>
      <x:c r="E127" s="114" t="n">
        <x:v>0.045</x:v>
      </x:c>
      <x:c r="F127" s="114" t="str">
        <x:v>kg</x:v>
      </x:c>
      <x:c r="G127" s="114" t="n">
        <x:v>0.045</x:v>
      </x:c>
      <x:c r="H127" s="70" t="str">
        <x:v>SUBRECETA</x:v>
      </x:c>
      <x:c r="I127" s="70" t="str">
        <x:v>SI</x:v>
      </x:c>
      <x:c r="J127" s="70" t="str">
        <x:v>AL_ENSAMBLAR</x:v>
      </x:c>
      <x:c r="K127" s="71" t="str"/>
    </x:row>
    <x:row r="128">
      <x:c r="A128" s="69" t="str">
        <x:v>CHK-NUT-270</x:v>
      </x:c>
      <x:c r="B128" s="70" t="str">
        <x:v>Cheesecake Nutella</x:v>
      </x:c>
      <x:c r="C128" s="70" t="str">
        <x:v>BASE-CHEESECAKE-NEUTRO</x:v>
      </x:c>
      <x:c r="D128" s="70" t="str">
        <x:v>Cheesecake neutro</x:v>
      </x:c>
      <x:c r="E128" s="114" t="n">
        <x:v>0.165</x:v>
      </x:c>
      <x:c r="F128" s="114" t="str">
        <x:v>kg</x:v>
      </x:c>
      <x:c r="G128" s="114" t="n">
        <x:v>0.165</x:v>
      </x:c>
      <x:c r="H128" s="70" t="str">
        <x:v>SUBRECETA</x:v>
      </x:c>
      <x:c r="I128" s="70" t="str">
        <x:v>SI</x:v>
      </x:c>
      <x:c r="J128" s="70" t="str">
        <x:v>AL_ENSAMBLAR</x:v>
      </x:c>
      <x:c r="K128" s="71" t="str"/>
    </x:row>
    <x:row r="129">
      <x:c r="A129" s="69" t="str">
        <x:v>CHK-NUT-270</x:v>
      </x:c>
      <x:c r="B129" s="70" t="str">
        <x:v>Cheesecake Nutella</x:v>
      </x:c>
      <x:c r="C129" s="70" t="str">
        <x:v>INS-NUTELLA</x:v>
      </x:c>
      <x:c r="D129" s="70" t="str">
        <x:v>Inclusión Nutella</x:v>
      </x:c>
      <x:c r="E129" s="114" t="n">
        <x:v>0.03</x:v>
      </x:c>
      <x:c r="F129" s="114" t="str">
        <x:v>kg</x:v>
      </x:c>
      <x:c r="G129" s="114" t="n">
        <x:v>0.03</x:v>
      </x:c>
      <x:c r="H129" s="70" t="str">
        <x:v>INSUMO_O_SUBRECETA</x:v>
      </x:c>
      <x:c r="I129" s="70" t="str">
        <x:v>SI</x:v>
      </x:c>
      <x:c r="J129" s="70" t="str">
        <x:v>AL_ENSAMBLAR</x:v>
      </x:c>
      <x:c r="K129" s="71" t="str"/>
    </x:row>
    <x:row r="130">
      <x:c r="A130" s="69" t="str">
        <x:v>CHK-NUT-270</x:v>
      </x:c>
      <x:c r="B130" s="70" t="str">
        <x:v>Cheesecake Nutella</x:v>
      </x:c>
      <x:c r="C130" s="70" t="str">
        <x:v>BASE-SALSA-NUTELLA</x:v>
      </x:c>
      <x:c r="D130" s="70" t="str">
        <x:v>Salsa Nutella</x:v>
      </x:c>
      <x:c r="E130" s="114" t="n">
        <x:v>0.02</x:v>
      </x:c>
      <x:c r="F130" s="114" t="str">
        <x:v>kg</x:v>
      </x:c>
      <x:c r="G130" s="114" t="n">
        <x:v>0.02</x:v>
      </x:c>
      <x:c r="H130" s="70" t="str">
        <x:v>SUBRECETA</x:v>
      </x:c>
      <x:c r="I130" s="70" t="str">
        <x:v>SI</x:v>
      </x:c>
      <x:c r="J130" s="70" t="str">
        <x:v>AL_ENSAMBLAR</x:v>
      </x:c>
      <x:c r="K130" s="71" t="str"/>
    </x:row>
    <x:row r="131">
      <x:c r="A131" s="69" t="str">
        <x:v>CHK-NUT-270</x:v>
      </x:c>
      <x:c r="B131" s="70" t="str">
        <x:v>Cheesecake Nutella</x:v>
      </x:c>
      <x:c r="C131" s="70" t="str">
        <x:v>TOP-AVELLANA</x:v>
      </x:c>
      <x:c r="D131" s="70" t="str">
        <x:v>Topping Nutella</x:v>
      </x:c>
      <x:c r="E131" s="114" t="n">
        <x:v>0.01</x:v>
      </x:c>
      <x:c r="F131" s="114" t="str">
        <x:v>kg</x:v>
      </x:c>
      <x:c r="G131" s="114" t="n">
        <x:v>0.01</x:v>
      </x:c>
      <x:c r="H131" s="70" t="str">
        <x:v>INSUMO_O_SUBRECETA</x:v>
      </x:c>
      <x:c r="I131" s="70" t="str">
        <x:v>SI</x:v>
      </x:c>
      <x:c r="J131" s="70" t="str">
        <x:v>AL_ENSAMBLAR</x:v>
      </x:c>
      <x:c r="K131" s="71" t="str"/>
    </x:row>
    <x:row r="132">
      <x:c r="A132" s="69" t="str">
        <x:v>CHK-NUT-270</x:v>
      </x:c>
      <x:c r="B132" s="70" t="str">
        <x:v>Cheesecake Nutella</x:v>
      </x:c>
      <x:c r="C132" s="70" t="str">
        <x:v>FIG-HOR-NUT</x:v>
      </x:c>
      <x:c r="D132" s="70" t="str">
        <x:v>Figurita horizontal Nutella</x:v>
      </x:c>
      <x:c r="E132" s="114" t="n">
        <x:v>1</x:v>
      </x:c>
      <x:c r="F132" s="114" t="str">
        <x:v>und</x:v>
      </x:c>
      <x:c r="G132" s="114" t="n">
        <x:v>0</x:v>
      </x:c>
      <x:c r="H132" s="70" t="str">
        <x:v>SEMITERMINADO</x:v>
      </x:c>
      <x:c r="I132" s="70" t="str">
        <x:v>SI</x:v>
      </x:c>
      <x:c r="J132" s="70" t="str">
        <x:v>AL_ENSAMBLAR</x:v>
      </x:c>
      <x:c r="K132" s="71" t="str">
        <x:v>Peso pendiente de validar; se consume por unidad.</x:v>
      </x:c>
    </x:row>
    <x:row r="133">
      <x:c r="A133" s="69" t="str">
        <x:v>CHK-MIL-270</x:v>
      </x:c>
      <x:c r="B133" s="70" t="str">
        <x:v>Cheesecake Milo</x:v>
      </x:c>
      <x:c r="C133" s="70" t="str">
        <x:v>BASE-CROCANTE-CHOCOLATE</x:v>
      </x:c>
      <x:c r="D133" s="70" t="str">
        <x:v>Base crocante</x:v>
      </x:c>
      <x:c r="E133" s="114" t="n">
        <x:v>0.045</x:v>
      </x:c>
      <x:c r="F133" s="114" t="str">
        <x:v>kg</x:v>
      </x:c>
      <x:c r="G133" s="114" t="n">
        <x:v>0.045</x:v>
      </x:c>
      <x:c r="H133" s="70" t="str">
        <x:v>SUBRECETA</x:v>
      </x:c>
      <x:c r="I133" s="70" t="str">
        <x:v>SI</x:v>
      </x:c>
      <x:c r="J133" s="70" t="str">
        <x:v>AL_ENSAMBLAR</x:v>
      </x:c>
      <x:c r="K133" s="71" t="str"/>
    </x:row>
    <x:row r="134">
      <x:c r="A134" s="69" t="str">
        <x:v>CHK-MIL-270</x:v>
      </x:c>
      <x:c r="B134" s="70" t="str">
        <x:v>Cheesecake Milo</x:v>
      </x:c>
      <x:c r="C134" s="70" t="str">
        <x:v>BASE-CHEESECAKE-NEUTRO</x:v>
      </x:c>
      <x:c r="D134" s="70" t="str">
        <x:v>Cheesecake neutro</x:v>
      </x:c>
      <x:c r="E134" s="114" t="n">
        <x:v>0.165</x:v>
      </x:c>
      <x:c r="F134" s="114" t="str">
        <x:v>kg</x:v>
      </x:c>
      <x:c r="G134" s="114" t="n">
        <x:v>0.165</x:v>
      </x:c>
      <x:c r="H134" s="70" t="str">
        <x:v>SUBRECETA</x:v>
      </x:c>
      <x:c r="I134" s="70" t="str">
        <x:v>SI</x:v>
      </x:c>
      <x:c r="J134" s="70" t="str">
        <x:v>AL_ENSAMBLAR</x:v>
      </x:c>
      <x:c r="K134" s="71" t="str"/>
    </x:row>
    <x:row r="135">
      <x:c r="A135" s="69" t="str">
        <x:v>CHK-MIL-270</x:v>
      </x:c>
      <x:c r="B135" s="70" t="str">
        <x:v>Cheesecake Milo</x:v>
      </x:c>
      <x:c r="C135" s="70" t="str">
        <x:v>INS-MILO</x:v>
      </x:c>
      <x:c r="D135" s="70" t="str">
        <x:v>Inclusión Milo</x:v>
      </x:c>
      <x:c r="E135" s="114" t="n">
        <x:v>0.03</x:v>
      </x:c>
      <x:c r="F135" s="114" t="str">
        <x:v>kg</x:v>
      </x:c>
      <x:c r="G135" s="114" t="n">
        <x:v>0.03</x:v>
      </x:c>
      <x:c r="H135" s="70" t="str">
        <x:v>INSUMO_O_SUBRECETA</x:v>
      </x:c>
      <x:c r="I135" s="70" t="str">
        <x:v>SI</x:v>
      </x:c>
      <x:c r="J135" s="70" t="str">
        <x:v>AL_ENSAMBLAR</x:v>
      </x:c>
      <x:c r="K135" s="71" t="str"/>
    </x:row>
    <x:row r="136">
      <x:c r="A136" s="69" t="str">
        <x:v>CHK-MIL-270</x:v>
      </x:c>
      <x:c r="B136" s="70" t="str">
        <x:v>Cheesecake Milo</x:v>
      </x:c>
      <x:c r="C136" s="70" t="str">
        <x:v>BASE-SALSA-CHOCOLATE</x:v>
      </x:c>
      <x:c r="D136" s="70" t="str">
        <x:v>Salsa Milo</x:v>
      </x:c>
      <x:c r="E136" s="114" t="n">
        <x:v>0.02</x:v>
      </x:c>
      <x:c r="F136" s="114" t="str">
        <x:v>kg</x:v>
      </x:c>
      <x:c r="G136" s="114" t="n">
        <x:v>0.02</x:v>
      </x:c>
      <x:c r="H136" s="70" t="str">
        <x:v>SUBRECETA</x:v>
      </x:c>
      <x:c r="I136" s="70" t="str">
        <x:v>SI</x:v>
      </x:c>
      <x:c r="J136" s="70" t="str">
        <x:v>AL_ENSAMBLAR</x:v>
      </x:c>
      <x:c r="K136" s="71" t="str"/>
    </x:row>
    <x:row r="137">
      <x:c r="A137" s="69" t="str">
        <x:v>CHK-MIL-270</x:v>
      </x:c>
      <x:c r="B137" s="70" t="str">
        <x:v>Cheesecake Milo</x:v>
      </x:c>
      <x:c r="C137" s="70" t="str">
        <x:v>TOP-MILO</x:v>
      </x:c>
      <x:c r="D137" s="70" t="str">
        <x:v>Topping Milo</x:v>
      </x:c>
      <x:c r="E137" s="114" t="n">
        <x:v>0.01</x:v>
      </x:c>
      <x:c r="F137" s="114" t="str">
        <x:v>kg</x:v>
      </x:c>
      <x:c r="G137" s="114" t="n">
        <x:v>0.01</x:v>
      </x:c>
      <x:c r="H137" s="70" t="str">
        <x:v>INSUMO_O_SUBRECETA</x:v>
      </x:c>
      <x:c r="I137" s="70" t="str">
        <x:v>SI</x:v>
      </x:c>
      <x:c r="J137" s="70" t="str">
        <x:v>AL_ENSAMBLAR</x:v>
      </x:c>
      <x:c r="K137" s="71" t="str"/>
    </x:row>
    <x:row r="138">
      <x:c r="A138" s="69" t="str">
        <x:v>CHK-MIL-270</x:v>
      </x:c>
      <x:c r="B138" s="70" t="str">
        <x:v>Cheesecake Milo</x:v>
      </x:c>
      <x:c r="C138" s="70" t="str">
        <x:v>FIG-HOR-MIL</x:v>
      </x:c>
      <x:c r="D138" s="70" t="str">
        <x:v>Figurita horizontal Milo</x:v>
      </x:c>
      <x:c r="E138" s="114" t="n">
        <x:v>1</x:v>
      </x:c>
      <x:c r="F138" s="114" t="str">
        <x:v>und</x:v>
      </x:c>
      <x:c r="G138" s="114" t="n">
        <x:v>0</x:v>
      </x:c>
      <x:c r="H138" s="70" t="str">
        <x:v>SEMITERMINADO</x:v>
      </x:c>
      <x:c r="I138" s="70" t="str">
        <x:v>SI</x:v>
      </x:c>
      <x:c r="J138" s="70" t="str">
        <x:v>AL_ENSAMBLAR</x:v>
      </x:c>
      <x:c r="K138" s="71" t="str">
        <x:v>Peso pendiente de validar; se consume por unidad.</x:v>
      </x:c>
    </x:row>
    <x:row r="139">
      <x:c r="A139" s="69" t="str">
        <x:v>PAV-MBI-270</x:v>
      </x:c>
      <x:c r="B139" s="70" t="str">
        <x:v>Pavé MOMOS Mango biche</x:v>
      </x:c>
      <x:c r="C139" s="70" t="str">
        <x:v>BASE-CHEESECAKE-NEUTRO</x:v>
      </x:c>
      <x:c r="D139" s="70" t="str">
        <x:v>Crema cheesecake / crema de pavé</x:v>
      </x:c>
      <x:c r="E139" s="114" t="n">
        <x:v>0.12</x:v>
      </x:c>
      <x:c r="F139" s="114" t="str">
        <x:v>kg</x:v>
      </x:c>
      <x:c r="G139" s="114" t="n">
        <x:v>0.12</x:v>
      </x:c>
      <x:c r="H139" s="70" t="str">
        <x:v>SUBRECETA</x:v>
      </x:c>
      <x:c r="I139" s="70" t="str">
        <x:v>SI</x:v>
      </x:c>
      <x:c r="J139" s="70" t="str">
        <x:v>AL_ENSAMBLAR</x:v>
      </x:c>
      <x:c r="K139" s="71" t="str"/>
    </x:row>
    <x:row r="140">
      <x:c r="A140" s="69" t="str">
        <x:v>PAV-MBI-270</x:v>
      </x:c>
      <x:c r="B140" s="70" t="str">
        <x:v>Pavé MOMOS Mango biche</x:v>
      </x:c>
      <x:c r="C140" s="70" t="str">
        <x:v>BASE-MOUSSE-MANGO-BICHE</x:v>
      </x:c>
      <x:c r="D140" s="70" t="str">
        <x:v>Mousse Mango biche</x:v>
      </x:c>
      <x:c r="E140" s="114" t="n">
        <x:v>0.075</x:v>
      </x:c>
      <x:c r="F140" s="114" t="str">
        <x:v>kg</x:v>
      </x:c>
      <x:c r="G140" s="114" t="n">
        <x:v>0.075</x:v>
      </x:c>
      <x:c r="H140" s="70" t="str">
        <x:v>SUBRECETA</x:v>
      </x:c>
      <x:c r="I140" s="70" t="str">
        <x:v>SI</x:v>
      </x:c>
      <x:c r="J140" s="70" t="str">
        <x:v>AL_ENSAMBLAR</x:v>
      </x:c>
      <x:c r="K140" s="71" t="str"/>
    </x:row>
    <x:row r="141">
      <x:c r="A141" s="69" t="str">
        <x:v>PAV-MBI-270</x:v>
      </x:c>
      <x:c r="B141" s="70" t="str">
        <x:v>Pavé MOMOS Mango biche</x:v>
      </x:c>
      <x:c r="C141" s="70" t="str">
        <x:v>INS-GALLETA-SALTIN</x:v>
      </x:c>
      <x:c r="D141" s="70" t="str">
        <x:v>Galleta Saltín</x:v>
      </x:c>
      <x:c r="E141" s="114" t="n">
        <x:v>0.04</x:v>
      </x:c>
      <x:c r="F141" s="114" t="str">
        <x:v>kg</x:v>
      </x:c>
      <x:c r="G141" s="114" t="n">
        <x:v>0.04</x:v>
      </x:c>
      <x:c r="H141" s="70" t="str">
        <x:v>INSUMO</x:v>
      </x:c>
      <x:c r="I141" s="70" t="str">
        <x:v>SI</x:v>
      </x:c>
      <x:c r="J141" s="70" t="str">
        <x:v>AL_ENSAMBLAR</x:v>
      </x:c>
      <x:c r="K141" s="71" t="str"/>
    </x:row>
    <x:row r="142">
      <x:c r="A142" s="69" t="str">
        <x:v>PAV-MBI-270</x:v>
      </x:c>
      <x:c r="B142" s="70" t="str">
        <x:v>Pavé MOMOS Mango biche</x:v>
      </x:c>
      <x:c r="C142" s="70" t="str">
        <x:v>BASE-SALSA-MANGO-BICHE</x:v>
      </x:c>
      <x:c r="D142" s="70" t="str">
        <x:v>Salsa/ganache Mango biche</x:v>
      </x:c>
      <x:c r="E142" s="114" t="n">
        <x:v>0.025</x:v>
      </x:c>
      <x:c r="F142" s="114" t="str">
        <x:v>kg</x:v>
      </x:c>
      <x:c r="G142" s="114" t="n">
        <x:v>0.025</x:v>
      </x:c>
      <x:c r="H142" s="70" t="str">
        <x:v>SUBRECETA</x:v>
      </x:c>
      <x:c r="I142" s="70" t="str">
        <x:v>SI</x:v>
      </x:c>
      <x:c r="J142" s="70" t="str">
        <x:v>AL_ENSAMBLAR</x:v>
      </x:c>
      <x:c r="K142" s="71" t="str"/>
    </x:row>
    <x:row r="143">
      <x:c r="A143" s="69" t="str">
        <x:v>PAV-MBI-270</x:v>
      </x:c>
      <x:c r="B143" s="70" t="str">
        <x:v>Pavé MOMOS Mango biche</x:v>
      </x:c>
      <x:c r="C143" s="70" t="str">
        <x:v>TOP-MANGO-BICHE</x:v>
      </x:c>
      <x:c r="D143" s="70" t="str">
        <x:v>Topping Mango biche</x:v>
      </x:c>
      <x:c r="E143" s="114" t="n">
        <x:v>0.01</x:v>
      </x:c>
      <x:c r="F143" s="114" t="str">
        <x:v>kg</x:v>
      </x:c>
      <x:c r="G143" s="114" t="n">
        <x:v>0.01</x:v>
      </x:c>
      <x:c r="H143" s="70" t="str">
        <x:v>INSUMO_O_SUBRECETA</x:v>
      </x:c>
      <x:c r="I143" s="70" t="str">
        <x:v>SI</x:v>
      </x:c>
      <x:c r="J143" s="70" t="str">
        <x:v>AL_ENSAMBLAR</x:v>
      </x:c>
      <x:c r="K143" s="71" t="str"/>
    </x:row>
    <x:row r="144">
      <x:c r="A144" s="69" t="str">
        <x:v>PAV-MBI-270</x:v>
      </x:c>
      <x:c r="B144" s="70" t="str">
        <x:v>Pavé MOMOS Mango biche</x:v>
      </x:c>
      <x:c r="C144" s="70" t="str">
        <x:v>FIG-HOR-MBI</x:v>
      </x:c>
      <x:c r="D144" s="70" t="str">
        <x:v>Figurita horizontal Mango biche</x:v>
      </x:c>
      <x:c r="E144" s="114" t="n">
        <x:v>1</x:v>
      </x:c>
      <x:c r="F144" s="114" t="str">
        <x:v>und</x:v>
      </x:c>
      <x:c r="G144" s="114" t="n">
        <x:v>0</x:v>
      </x:c>
      <x:c r="H144" s="70" t="str">
        <x:v>SEMITERMINADO</x:v>
      </x:c>
      <x:c r="I144" s="70" t="str">
        <x:v>SI</x:v>
      </x:c>
      <x:c r="J144" s="70" t="str">
        <x:v>AL_ENSAMBLAR</x:v>
      </x:c>
      <x:c r="K144" s="71" t="str">
        <x:v>Peso pendiente de validar; se consume por unidad.</x:v>
      </x:c>
    </x:row>
    <x:row r="145">
      <x:c r="A145" s="69" t="str">
        <x:v>PAV-COC-270</x:v>
      </x:c>
      <x:c r="B145" s="70" t="str">
        <x:v>Pavé MOMOS Coco</x:v>
      </x:c>
      <x:c r="C145" s="70" t="str">
        <x:v>BASE-CHEESECAKE-NEUTRO</x:v>
      </x:c>
      <x:c r="D145" s="70" t="str">
        <x:v>Crema cheesecake / crema de pavé</x:v>
      </x:c>
      <x:c r="E145" s="114" t="n">
        <x:v>0.12</x:v>
      </x:c>
      <x:c r="F145" s="114" t="str">
        <x:v>kg</x:v>
      </x:c>
      <x:c r="G145" s="114" t="n">
        <x:v>0.12</x:v>
      </x:c>
      <x:c r="H145" s="70" t="str">
        <x:v>SUBRECETA</x:v>
      </x:c>
      <x:c r="I145" s="70" t="str">
        <x:v>SI</x:v>
      </x:c>
      <x:c r="J145" s="70" t="str">
        <x:v>AL_ENSAMBLAR</x:v>
      </x:c>
      <x:c r="K145" s="71" t="str"/>
    </x:row>
    <x:row r="146">
      <x:c r="A146" s="69" t="str">
        <x:v>PAV-COC-270</x:v>
      </x:c>
      <x:c r="B146" s="70" t="str">
        <x:v>Pavé MOMOS Coco</x:v>
      </x:c>
      <x:c r="C146" s="70" t="str">
        <x:v>BASE-MOUSSE-COCO</x:v>
      </x:c>
      <x:c r="D146" s="70" t="str">
        <x:v>Mousse Coco</x:v>
      </x:c>
      <x:c r="E146" s="114" t="n">
        <x:v>0.075</x:v>
      </x:c>
      <x:c r="F146" s="114" t="str">
        <x:v>kg</x:v>
      </x:c>
      <x:c r="G146" s="114" t="n">
        <x:v>0.075</x:v>
      </x:c>
      <x:c r="H146" s="70" t="str">
        <x:v>SUBRECETA</x:v>
      </x:c>
      <x:c r="I146" s="70" t="str">
        <x:v>SI</x:v>
      </x:c>
      <x:c r="J146" s="70" t="str">
        <x:v>AL_ENSAMBLAR</x:v>
      </x:c>
      <x:c r="K146" s="71" t="str"/>
    </x:row>
    <x:row r="147">
      <x:c r="A147" s="69" t="str">
        <x:v>PAV-COC-270</x:v>
      </x:c>
      <x:c r="B147" s="70" t="str">
        <x:v>Pavé MOMOS Coco</x:v>
      </x:c>
      <x:c r="C147" s="70" t="str">
        <x:v>INS-GALLETA-SALTIN</x:v>
      </x:c>
      <x:c r="D147" s="70" t="str">
        <x:v>Galleta Saltín</x:v>
      </x:c>
      <x:c r="E147" s="114" t="n">
        <x:v>0.04</x:v>
      </x:c>
      <x:c r="F147" s="114" t="str">
        <x:v>kg</x:v>
      </x:c>
      <x:c r="G147" s="114" t="n">
        <x:v>0.04</x:v>
      </x:c>
      <x:c r="H147" s="70" t="str">
        <x:v>INSUMO</x:v>
      </x:c>
      <x:c r="I147" s="70" t="str">
        <x:v>SI</x:v>
      </x:c>
      <x:c r="J147" s="70" t="str">
        <x:v>AL_ENSAMBLAR</x:v>
      </x:c>
      <x:c r="K147" s="71" t="str"/>
    </x:row>
    <x:row r="148">
      <x:c r="A148" s="69" t="str">
        <x:v>PAV-COC-270</x:v>
      </x:c>
      <x:c r="B148" s="70" t="str">
        <x:v>Pavé MOMOS Coco</x:v>
      </x:c>
      <x:c r="C148" s="70" t="str">
        <x:v>BASE-SALSA-LECHE-CONDENSADA</x:v>
      </x:c>
      <x:c r="D148" s="70" t="str">
        <x:v>Salsa/ganache Coco</x:v>
      </x:c>
      <x:c r="E148" s="114" t="n">
        <x:v>0.025</x:v>
      </x:c>
      <x:c r="F148" s="114" t="str">
        <x:v>kg</x:v>
      </x:c>
      <x:c r="G148" s="114" t="n">
        <x:v>0.025</x:v>
      </x:c>
      <x:c r="H148" s="70" t="str">
        <x:v>SUBRECETA</x:v>
      </x:c>
      <x:c r="I148" s="70" t="str">
        <x:v>SI</x:v>
      </x:c>
      <x:c r="J148" s="70" t="str">
        <x:v>AL_ENSAMBLAR</x:v>
      </x:c>
      <x:c r="K148" s="71" t="str"/>
    </x:row>
    <x:row r="149">
      <x:c r="A149" s="69" t="str">
        <x:v>PAV-COC-270</x:v>
      </x:c>
      <x:c r="B149" s="70" t="str">
        <x:v>Pavé MOMOS Coco</x:v>
      </x:c>
      <x:c r="C149" s="70" t="str">
        <x:v>TOP-COCO-RALLADO</x:v>
      </x:c>
      <x:c r="D149" s="70" t="str">
        <x:v>Topping Coco</x:v>
      </x:c>
      <x:c r="E149" s="114" t="n">
        <x:v>0.01</x:v>
      </x:c>
      <x:c r="F149" s="114" t="str">
        <x:v>kg</x:v>
      </x:c>
      <x:c r="G149" s="114" t="n">
        <x:v>0.01</x:v>
      </x:c>
      <x:c r="H149" s="70" t="str">
        <x:v>INSUMO_O_SUBRECETA</x:v>
      </x:c>
      <x:c r="I149" s="70" t="str">
        <x:v>SI</x:v>
      </x:c>
      <x:c r="J149" s="70" t="str">
        <x:v>AL_ENSAMBLAR</x:v>
      </x:c>
      <x:c r="K149" s="71" t="str"/>
    </x:row>
    <x:row r="150">
      <x:c r="A150" s="69" t="str">
        <x:v>PAV-COC-270</x:v>
      </x:c>
      <x:c r="B150" s="70" t="str">
        <x:v>Pavé MOMOS Coco</x:v>
      </x:c>
      <x:c r="C150" s="70" t="str">
        <x:v>FIG-HOR-COC</x:v>
      </x:c>
      <x:c r="D150" s="70" t="str">
        <x:v>Figurita horizontal Coco</x:v>
      </x:c>
      <x:c r="E150" s="114" t="n">
        <x:v>1</x:v>
      </x:c>
      <x:c r="F150" s="114" t="str">
        <x:v>und</x:v>
      </x:c>
      <x:c r="G150" s="114" t="n">
        <x:v>0</x:v>
      </x:c>
      <x:c r="H150" s="70" t="str">
        <x:v>SEMITERMINADO</x:v>
      </x:c>
      <x:c r="I150" s="70" t="str">
        <x:v>SI</x:v>
      </x:c>
      <x:c r="J150" s="70" t="str">
        <x:v>AL_ENSAMBLAR</x:v>
      </x:c>
      <x:c r="K150" s="71" t="str">
        <x:v>Peso pendiente de validar; se consume por unidad.</x:v>
      </x:c>
    </x:row>
    <x:row r="151">
      <x:c r="A151" s="69" t="str">
        <x:v>PAV-MAR-270</x:v>
      </x:c>
      <x:c r="B151" s="70" t="str">
        <x:v>Pavé MOMOS Maracuyá</x:v>
      </x:c>
      <x:c r="C151" s="70" t="str">
        <x:v>BASE-CHEESECAKE-NEUTRO</x:v>
      </x:c>
      <x:c r="D151" s="70" t="str">
        <x:v>Crema cheesecake / crema de pavé</x:v>
      </x:c>
      <x:c r="E151" s="114" t="n">
        <x:v>0.12</x:v>
      </x:c>
      <x:c r="F151" s="114" t="str">
        <x:v>kg</x:v>
      </x:c>
      <x:c r="G151" s="114" t="n">
        <x:v>0.12</x:v>
      </x:c>
      <x:c r="H151" s="70" t="str">
        <x:v>SUBRECETA</x:v>
      </x:c>
      <x:c r="I151" s="70" t="str">
        <x:v>SI</x:v>
      </x:c>
      <x:c r="J151" s="70" t="str">
        <x:v>AL_ENSAMBLAR</x:v>
      </x:c>
      <x:c r="K151" s="71" t="str"/>
    </x:row>
    <x:row r="152">
      <x:c r="A152" s="69" t="str">
        <x:v>PAV-MAR-270</x:v>
      </x:c>
      <x:c r="B152" s="70" t="str">
        <x:v>Pavé MOMOS Maracuyá</x:v>
      </x:c>
      <x:c r="C152" s="70" t="str">
        <x:v>BASE-MOUSSE-MARACUYA</x:v>
      </x:c>
      <x:c r="D152" s="70" t="str">
        <x:v>Mousse Maracuyá</x:v>
      </x:c>
      <x:c r="E152" s="114" t="n">
        <x:v>0.075</x:v>
      </x:c>
      <x:c r="F152" s="114" t="str">
        <x:v>kg</x:v>
      </x:c>
      <x:c r="G152" s="114" t="n">
        <x:v>0.075</x:v>
      </x:c>
      <x:c r="H152" s="70" t="str">
        <x:v>SUBRECETA</x:v>
      </x:c>
      <x:c r="I152" s="70" t="str">
        <x:v>SI</x:v>
      </x:c>
      <x:c r="J152" s="70" t="str">
        <x:v>AL_ENSAMBLAR</x:v>
      </x:c>
      <x:c r="K152" s="71" t="str"/>
    </x:row>
    <x:row r="153">
      <x:c r="A153" s="69" t="str">
        <x:v>PAV-MAR-270</x:v>
      </x:c>
      <x:c r="B153" s="70" t="str">
        <x:v>Pavé MOMOS Maracuyá</x:v>
      </x:c>
      <x:c r="C153" s="70" t="str">
        <x:v>INS-GALLETA-SALTIN</x:v>
      </x:c>
      <x:c r="D153" s="70" t="str">
        <x:v>Galleta Saltín</x:v>
      </x:c>
      <x:c r="E153" s="114" t="n">
        <x:v>0.04</x:v>
      </x:c>
      <x:c r="F153" s="114" t="str">
        <x:v>kg</x:v>
      </x:c>
      <x:c r="G153" s="114" t="n">
        <x:v>0.04</x:v>
      </x:c>
      <x:c r="H153" s="70" t="str">
        <x:v>INSUMO</x:v>
      </x:c>
      <x:c r="I153" s="70" t="str">
        <x:v>SI</x:v>
      </x:c>
      <x:c r="J153" s="70" t="str">
        <x:v>AL_ENSAMBLAR</x:v>
      </x:c>
      <x:c r="K153" s="71" t="str"/>
    </x:row>
    <x:row r="154">
      <x:c r="A154" s="69" t="str">
        <x:v>PAV-MAR-270</x:v>
      </x:c>
      <x:c r="B154" s="70" t="str">
        <x:v>Pavé MOMOS Maracuyá</x:v>
      </x:c>
      <x:c r="C154" s="70" t="str">
        <x:v>BASE-SALSA-MARACUYA</x:v>
      </x:c>
      <x:c r="D154" s="70" t="str">
        <x:v>Salsa/ganache Maracuyá</x:v>
      </x:c>
      <x:c r="E154" s="114" t="n">
        <x:v>0.025</x:v>
      </x:c>
      <x:c r="F154" s="114" t="str">
        <x:v>kg</x:v>
      </x:c>
      <x:c r="G154" s="114" t="n">
        <x:v>0.025</x:v>
      </x:c>
      <x:c r="H154" s="70" t="str">
        <x:v>SUBRECETA</x:v>
      </x:c>
      <x:c r="I154" s="70" t="str">
        <x:v>SI</x:v>
      </x:c>
      <x:c r="J154" s="70" t="str">
        <x:v>AL_ENSAMBLAR</x:v>
      </x:c>
      <x:c r="K154" s="71" t="str"/>
    </x:row>
    <x:row r="155">
      <x:c r="A155" s="69" t="str">
        <x:v>PAV-MAR-270</x:v>
      </x:c>
      <x:c r="B155" s="70" t="str">
        <x:v>Pavé MOMOS Maracuyá</x:v>
      </x:c>
      <x:c r="C155" s="70" t="str">
        <x:v>TOP-MARACUYA</x:v>
      </x:c>
      <x:c r="D155" s="70" t="str">
        <x:v>Topping Maracuyá</x:v>
      </x:c>
      <x:c r="E155" s="114" t="n">
        <x:v>0.01</x:v>
      </x:c>
      <x:c r="F155" s="114" t="str">
        <x:v>kg</x:v>
      </x:c>
      <x:c r="G155" s="114" t="n">
        <x:v>0.01</x:v>
      </x:c>
      <x:c r="H155" s="70" t="str">
        <x:v>INSUMO_O_SUBRECETA</x:v>
      </x:c>
      <x:c r="I155" s="70" t="str">
        <x:v>SI</x:v>
      </x:c>
      <x:c r="J155" s="70" t="str">
        <x:v>AL_ENSAMBLAR</x:v>
      </x:c>
      <x:c r="K155" s="71" t="str"/>
    </x:row>
    <x:row r="156">
      <x:c r="A156" s="69" t="str">
        <x:v>PAV-MAR-270</x:v>
      </x:c>
      <x:c r="B156" s="70" t="str">
        <x:v>Pavé MOMOS Maracuyá</x:v>
      </x:c>
      <x:c r="C156" s="70" t="str">
        <x:v>FIG-HOR-MAR</x:v>
      </x:c>
      <x:c r="D156" s="70" t="str">
        <x:v>Figurita horizontal Maracuyá</x:v>
      </x:c>
      <x:c r="E156" s="114" t="n">
        <x:v>1</x:v>
      </x:c>
      <x:c r="F156" s="114" t="str">
        <x:v>und</x:v>
      </x:c>
      <x:c r="G156" s="114" t="n">
        <x:v>0</x:v>
      </x:c>
      <x:c r="H156" s="70" t="str">
        <x:v>SEMITERMINADO</x:v>
      </x:c>
      <x:c r="I156" s="70" t="str">
        <x:v>SI</x:v>
      </x:c>
      <x:c r="J156" s="70" t="str">
        <x:v>AL_ENSAMBLAR</x:v>
      </x:c>
      <x:c r="K156" s="71" t="str">
        <x:v>Peso pendiente de validar; se consume por unidad.</x:v>
      </x:c>
    </x:row>
    <x:row r="157">
      <x:c r="A157" s="69" t="str">
        <x:v>PAV-LIM-270</x:v>
      </x:c>
      <x:c r="B157" s="70" t="str">
        <x:v>Pavé MOMOS Limón</x:v>
      </x:c>
      <x:c r="C157" s="70" t="str">
        <x:v>BASE-CHEESECAKE-NEUTRO</x:v>
      </x:c>
      <x:c r="D157" s="70" t="str">
        <x:v>Crema cheesecake / crema de pavé</x:v>
      </x:c>
      <x:c r="E157" s="114" t="n">
        <x:v>0.12</x:v>
      </x:c>
      <x:c r="F157" s="114" t="str">
        <x:v>kg</x:v>
      </x:c>
      <x:c r="G157" s="114" t="n">
        <x:v>0.12</x:v>
      </x:c>
      <x:c r="H157" s="70" t="str">
        <x:v>SUBRECETA</x:v>
      </x:c>
      <x:c r="I157" s="70" t="str">
        <x:v>SI</x:v>
      </x:c>
      <x:c r="J157" s="70" t="str">
        <x:v>AL_ENSAMBLAR</x:v>
      </x:c>
      <x:c r="K157" s="71" t="str"/>
    </x:row>
    <x:row r="158">
      <x:c r="A158" s="69" t="str">
        <x:v>PAV-LIM-270</x:v>
      </x:c>
      <x:c r="B158" s="70" t="str">
        <x:v>Pavé MOMOS Limón</x:v>
      </x:c>
      <x:c r="C158" s="70" t="str">
        <x:v>BASE-MOUSSE-LIMON</x:v>
      </x:c>
      <x:c r="D158" s="70" t="str">
        <x:v>Mousse Limón</x:v>
      </x:c>
      <x:c r="E158" s="114" t="n">
        <x:v>0.075</x:v>
      </x:c>
      <x:c r="F158" s="114" t="str">
        <x:v>kg</x:v>
      </x:c>
      <x:c r="G158" s="114" t="n">
        <x:v>0.075</x:v>
      </x:c>
      <x:c r="H158" s="70" t="str">
        <x:v>SUBRECETA</x:v>
      </x:c>
      <x:c r="I158" s="70" t="str">
        <x:v>SI</x:v>
      </x:c>
      <x:c r="J158" s="70" t="str">
        <x:v>AL_ENSAMBLAR</x:v>
      </x:c>
      <x:c r="K158" s="71" t="str"/>
    </x:row>
    <x:row r="159">
      <x:c r="A159" s="69" t="str">
        <x:v>PAV-LIM-270</x:v>
      </x:c>
      <x:c r="B159" s="70" t="str">
        <x:v>Pavé MOMOS Limón</x:v>
      </x:c>
      <x:c r="C159" s="70" t="str">
        <x:v>INS-GALLETA-SALTIN</x:v>
      </x:c>
      <x:c r="D159" s="70" t="str">
        <x:v>Galleta Saltín</x:v>
      </x:c>
      <x:c r="E159" s="114" t="n">
        <x:v>0.04</x:v>
      </x:c>
      <x:c r="F159" s="114" t="str">
        <x:v>kg</x:v>
      </x:c>
      <x:c r="G159" s="114" t="n">
        <x:v>0.04</x:v>
      </x:c>
      <x:c r="H159" s="70" t="str">
        <x:v>INSUMO</x:v>
      </x:c>
      <x:c r="I159" s="70" t="str">
        <x:v>SI</x:v>
      </x:c>
      <x:c r="J159" s="70" t="str">
        <x:v>AL_ENSAMBLAR</x:v>
      </x:c>
      <x:c r="K159" s="71" t="str"/>
    </x:row>
    <x:row r="160">
      <x:c r="A160" s="69" t="str">
        <x:v>PAV-LIM-270</x:v>
      </x:c>
      <x:c r="B160" s="70" t="str">
        <x:v>Pavé MOMOS Limón</x:v>
      </x:c>
      <x:c r="C160" s="70" t="str">
        <x:v>BASE-SALSA-LIMON</x:v>
      </x:c>
      <x:c r="D160" s="70" t="str">
        <x:v>Salsa/ganache Limón</x:v>
      </x:c>
      <x:c r="E160" s="114" t="n">
        <x:v>0.025</x:v>
      </x:c>
      <x:c r="F160" s="114" t="str">
        <x:v>kg</x:v>
      </x:c>
      <x:c r="G160" s="114" t="n">
        <x:v>0.025</x:v>
      </x:c>
      <x:c r="H160" s="70" t="str">
        <x:v>SUBRECETA</x:v>
      </x:c>
      <x:c r="I160" s="70" t="str">
        <x:v>SI</x:v>
      </x:c>
      <x:c r="J160" s="70" t="str">
        <x:v>AL_ENSAMBLAR</x:v>
      </x:c>
      <x:c r="K160" s="71" t="str"/>
    </x:row>
    <x:row r="161">
      <x:c r="A161" s="69" t="str">
        <x:v>PAV-LIM-270</x:v>
      </x:c>
      <x:c r="B161" s="70" t="str">
        <x:v>Pavé MOMOS Limón</x:v>
      </x:c>
      <x:c r="C161" s="70" t="str">
        <x:v>TOP-RALLADURA-LIMON</x:v>
      </x:c>
      <x:c r="D161" s="70" t="str">
        <x:v>Topping Limón</x:v>
      </x:c>
      <x:c r="E161" s="114" t="n">
        <x:v>0.01</x:v>
      </x:c>
      <x:c r="F161" s="114" t="str">
        <x:v>kg</x:v>
      </x:c>
      <x:c r="G161" s="114" t="n">
        <x:v>0.01</x:v>
      </x:c>
      <x:c r="H161" s="70" t="str">
        <x:v>INSUMO_O_SUBRECETA</x:v>
      </x:c>
      <x:c r="I161" s="70" t="str">
        <x:v>SI</x:v>
      </x:c>
      <x:c r="J161" s="70" t="str">
        <x:v>AL_ENSAMBLAR</x:v>
      </x:c>
      <x:c r="K161" s="71" t="str"/>
    </x:row>
    <x:row r="162">
      <x:c r="A162" s="69" t="str">
        <x:v>PAV-LIM-270</x:v>
      </x:c>
      <x:c r="B162" s="70" t="str">
        <x:v>Pavé MOMOS Limón</x:v>
      </x:c>
      <x:c r="C162" s="70" t="str">
        <x:v>FIG-HOR-LIM</x:v>
      </x:c>
      <x:c r="D162" s="70" t="str">
        <x:v>Figurita horizontal Limón</x:v>
      </x:c>
      <x:c r="E162" s="114" t="n">
        <x:v>1</x:v>
      </x:c>
      <x:c r="F162" s="114" t="str">
        <x:v>und</x:v>
      </x:c>
      <x:c r="G162" s="114" t="n">
        <x:v>0</x:v>
      </x:c>
      <x:c r="H162" s="70" t="str">
        <x:v>SEMITERMINADO</x:v>
      </x:c>
      <x:c r="I162" s="70" t="str">
        <x:v>SI</x:v>
      </x:c>
      <x:c r="J162" s="70" t="str">
        <x:v>AL_ENSAMBLAR</x:v>
      </x:c>
      <x:c r="K162" s="71" t="str">
        <x:v>Peso pendiente de validar; se consume por unidad.</x:v>
      </x:c>
    </x:row>
    <x:row r="163">
      <x:c r="A163" s="69" t="str">
        <x:v>PAV-BAN-270</x:v>
      </x:c>
      <x:c r="B163" s="70" t="str">
        <x:v>Pavé MOMOS Banano</x:v>
      </x:c>
      <x:c r="C163" s="70" t="str">
        <x:v>BASE-CHEESECAKE-NEUTRO</x:v>
      </x:c>
      <x:c r="D163" s="70" t="str">
        <x:v>Crema cheesecake / crema de pavé</x:v>
      </x:c>
      <x:c r="E163" s="114" t="n">
        <x:v>0.12</x:v>
      </x:c>
      <x:c r="F163" s="114" t="str">
        <x:v>kg</x:v>
      </x:c>
      <x:c r="G163" s="114" t="n">
        <x:v>0.12</x:v>
      </x:c>
      <x:c r="H163" s="70" t="str">
        <x:v>SUBRECETA</x:v>
      </x:c>
      <x:c r="I163" s="70" t="str">
        <x:v>SI</x:v>
      </x:c>
      <x:c r="J163" s="70" t="str">
        <x:v>AL_ENSAMBLAR</x:v>
      </x:c>
      <x:c r="K163" s="71" t="str"/>
    </x:row>
    <x:row r="164">
      <x:c r="A164" s="69" t="str">
        <x:v>PAV-BAN-270</x:v>
      </x:c>
      <x:c r="B164" s="70" t="str">
        <x:v>Pavé MOMOS Banano</x:v>
      </x:c>
      <x:c r="C164" s="70" t="str">
        <x:v>BASE-MOUSSE-BANANO</x:v>
      </x:c>
      <x:c r="D164" s="70" t="str">
        <x:v>Mousse Banano</x:v>
      </x:c>
      <x:c r="E164" s="114" t="n">
        <x:v>0.075</x:v>
      </x:c>
      <x:c r="F164" s="114" t="str">
        <x:v>kg</x:v>
      </x:c>
      <x:c r="G164" s="114" t="n">
        <x:v>0.075</x:v>
      </x:c>
      <x:c r="H164" s="70" t="str">
        <x:v>SUBRECETA</x:v>
      </x:c>
      <x:c r="I164" s="70" t="str">
        <x:v>SI</x:v>
      </x:c>
      <x:c r="J164" s="70" t="str">
        <x:v>AL_ENSAMBLAR</x:v>
      </x:c>
      <x:c r="K164" s="71" t="str"/>
    </x:row>
    <x:row r="165">
      <x:c r="A165" s="69" t="str">
        <x:v>PAV-BAN-270</x:v>
      </x:c>
      <x:c r="B165" s="70" t="str">
        <x:v>Pavé MOMOS Banano</x:v>
      </x:c>
      <x:c r="C165" s="70" t="str">
        <x:v>INS-GALLETA-SALTIN</x:v>
      </x:c>
      <x:c r="D165" s="70" t="str">
        <x:v>Galleta Saltín</x:v>
      </x:c>
      <x:c r="E165" s="114" t="n">
        <x:v>0.04</x:v>
      </x:c>
      <x:c r="F165" s="114" t="str">
        <x:v>kg</x:v>
      </x:c>
      <x:c r="G165" s="114" t="n">
        <x:v>0.04</x:v>
      </x:c>
      <x:c r="H165" s="70" t="str">
        <x:v>INSUMO</x:v>
      </x:c>
      <x:c r="I165" s="70" t="str">
        <x:v>SI</x:v>
      </x:c>
      <x:c r="J165" s="70" t="str">
        <x:v>AL_ENSAMBLAR</x:v>
      </x:c>
      <x:c r="K165" s="71" t="str"/>
    </x:row>
    <x:row r="166">
      <x:c r="A166" s="69" t="str">
        <x:v>PAV-BAN-270</x:v>
      </x:c>
      <x:c r="B166" s="70" t="str">
        <x:v>Pavé MOMOS Banano</x:v>
      </x:c>
      <x:c r="C166" s="70" t="str">
        <x:v>BASE-SALSA-BANANO</x:v>
      </x:c>
      <x:c r="D166" s="70" t="str">
        <x:v>Salsa/ganache Banano</x:v>
      </x:c>
      <x:c r="E166" s="114" t="n">
        <x:v>0.025</x:v>
      </x:c>
      <x:c r="F166" s="114" t="str">
        <x:v>kg</x:v>
      </x:c>
      <x:c r="G166" s="114" t="n">
        <x:v>0.025</x:v>
      </x:c>
      <x:c r="H166" s="70" t="str">
        <x:v>SUBRECETA</x:v>
      </x:c>
      <x:c r="I166" s="70" t="str">
        <x:v>SI</x:v>
      </x:c>
      <x:c r="J166" s="70" t="str">
        <x:v>AL_ENSAMBLAR</x:v>
      </x:c>
      <x:c r="K166" s="71" t="str"/>
    </x:row>
    <x:row r="167">
      <x:c r="A167" s="69" t="str">
        <x:v>PAV-BAN-270</x:v>
      </x:c>
      <x:c r="B167" s="70" t="str">
        <x:v>Pavé MOMOS Banano</x:v>
      </x:c>
      <x:c r="C167" s="70" t="str">
        <x:v>TOP-BANANO</x:v>
      </x:c>
      <x:c r="D167" s="70" t="str">
        <x:v>Topping Banano</x:v>
      </x:c>
      <x:c r="E167" s="114" t="n">
        <x:v>0.01</x:v>
      </x:c>
      <x:c r="F167" s="114" t="str">
        <x:v>kg</x:v>
      </x:c>
      <x:c r="G167" s="114" t="n">
        <x:v>0.01</x:v>
      </x:c>
      <x:c r="H167" s="70" t="str">
        <x:v>INSUMO_O_SUBRECETA</x:v>
      </x:c>
      <x:c r="I167" s="70" t="str">
        <x:v>SI</x:v>
      </x:c>
      <x:c r="J167" s="70" t="str">
        <x:v>AL_ENSAMBLAR</x:v>
      </x:c>
      <x:c r="K167" s="71" t="str"/>
    </x:row>
    <x:row r="168">
      <x:c r="A168" s="69" t="str">
        <x:v>PAV-BAN-270</x:v>
      </x:c>
      <x:c r="B168" s="70" t="str">
        <x:v>Pavé MOMOS Banano</x:v>
      </x:c>
      <x:c r="C168" s="70" t="str">
        <x:v>FIG-HOR-BAN</x:v>
      </x:c>
      <x:c r="D168" s="70" t="str">
        <x:v>Figurita horizontal Banano</x:v>
      </x:c>
      <x:c r="E168" s="114" t="n">
        <x:v>1</x:v>
      </x:c>
      <x:c r="F168" s="114" t="str">
        <x:v>und</x:v>
      </x:c>
      <x:c r="G168" s="114" t="n">
        <x:v>0</x:v>
      </x:c>
      <x:c r="H168" s="70" t="str">
        <x:v>SEMITERMINADO</x:v>
      </x:c>
      <x:c r="I168" s="70" t="str">
        <x:v>SI</x:v>
      </x:c>
      <x:c r="J168" s="70" t="str">
        <x:v>AL_ENSAMBLAR</x:v>
      </x:c>
      <x:c r="K168" s="71" t="str">
        <x:v>Peso pendiente de validar; se consume por unidad.</x:v>
      </x:c>
    </x:row>
    <x:row r="169">
      <x:c r="A169" s="69" t="str">
        <x:v>PAV-DUR-270</x:v>
      </x:c>
      <x:c r="B169" s="70" t="str">
        <x:v>Pavé MOMOS Durazno</x:v>
      </x:c>
      <x:c r="C169" s="70" t="str">
        <x:v>BASE-CHEESECAKE-NEUTRO</x:v>
      </x:c>
      <x:c r="D169" s="70" t="str">
        <x:v>Crema cheesecake / crema de pavé</x:v>
      </x:c>
      <x:c r="E169" s="114" t="n">
        <x:v>0.12</x:v>
      </x:c>
      <x:c r="F169" s="114" t="str">
        <x:v>kg</x:v>
      </x:c>
      <x:c r="G169" s="114" t="n">
        <x:v>0.12</x:v>
      </x:c>
      <x:c r="H169" s="70" t="str">
        <x:v>SUBRECETA</x:v>
      </x:c>
      <x:c r="I169" s="70" t="str">
        <x:v>SI</x:v>
      </x:c>
      <x:c r="J169" s="70" t="str">
        <x:v>AL_ENSAMBLAR</x:v>
      </x:c>
      <x:c r="K169" s="71" t="str"/>
    </x:row>
    <x:row r="170">
      <x:c r="A170" s="69" t="str">
        <x:v>PAV-DUR-270</x:v>
      </x:c>
      <x:c r="B170" s="70" t="str">
        <x:v>Pavé MOMOS Durazno</x:v>
      </x:c>
      <x:c r="C170" s="70" t="str">
        <x:v>BASE-MOUSSE-DURAZNO</x:v>
      </x:c>
      <x:c r="D170" s="70" t="str">
        <x:v>Mousse Durazno</x:v>
      </x:c>
      <x:c r="E170" s="114" t="n">
        <x:v>0.075</x:v>
      </x:c>
      <x:c r="F170" s="114" t="str">
        <x:v>kg</x:v>
      </x:c>
      <x:c r="G170" s="114" t="n">
        <x:v>0.075</x:v>
      </x:c>
      <x:c r="H170" s="70" t="str">
        <x:v>SUBRECETA</x:v>
      </x:c>
      <x:c r="I170" s="70" t="str">
        <x:v>SI</x:v>
      </x:c>
      <x:c r="J170" s="70" t="str">
        <x:v>AL_ENSAMBLAR</x:v>
      </x:c>
      <x:c r="K170" s="71" t="str"/>
    </x:row>
    <x:row r="171">
      <x:c r="A171" s="69" t="str">
        <x:v>PAV-DUR-270</x:v>
      </x:c>
      <x:c r="B171" s="70" t="str">
        <x:v>Pavé MOMOS Durazno</x:v>
      </x:c>
      <x:c r="C171" s="70" t="str">
        <x:v>INS-GALLETA-SALTIN</x:v>
      </x:c>
      <x:c r="D171" s="70" t="str">
        <x:v>Galleta Saltín</x:v>
      </x:c>
      <x:c r="E171" s="114" t="n">
        <x:v>0.04</x:v>
      </x:c>
      <x:c r="F171" s="114" t="str">
        <x:v>kg</x:v>
      </x:c>
      <x:c r="G171" s="114" t="n">
        <x:v>0.04</x:v>
      </x:c>
      <x:c r="H171" s="70" t="str">
        <x:v>INSUMO</x:v>
      </x:c>
      <x:c r="I171" s="70" t="str">
        <x:v>SI</x:v>
      </x:c>
      <x:c r="J171" s="70" t="str">
        <x:v>AL_ENSAMBLAR</x:v>
      </x:c>
      <x:c r="K171" s="71" t="str"/>
    </x:row>
    <x:row r="172">
      <x:c r="A172" s="69" t="str">
        <x:v>PAV-DUR-270</x:v>
      </x:c>
      <x:c r="B172" s="70" t="str">
        <x:v>Pavé MOMOS Durazno</x:v>
      </x:c>
      <x:c r="C172" s="70" t="str">
        <x:v>BASE-SALSA-DURAZNO</x:v>
      </x:c>
      <x:c r="D172" s="70" t="str">
        <x:v>Salsa/ganache Durazno</x:v>
      </x:c>
      <x:c r="E172" s="114" t="n">
        <x:v>0.025</x:v>
      </x:c>
      <x:c r="F172" s="114" t="str">
        <x:v>kg</x:v>
      </x:c>
      <x:c r="G172" s="114" t="n">
        <x:v>0.025</x:v>
      </x:c>
      <x:c r="H172" s="70" t="str">
        <x:v>SUBRECETA</x:v>
      </x:c>
      <x:c r="I172" s="70" t="str">
        <x:v>SI</x:v>
      </x:c>
      <x:c r="J172" s="70" t="str">
        <x:v>AL_ENSAMBLAR</x:v>
      </x:c>
      <x:c r="K172" s="71" t="str"/>
    </x:row>
    <x:row r="173">
      <x:c r="A173" s="69" t="str">
        <x:v>PAV-DUR-270</x:v>
      </x:c>
      <x:c r="B173" s="70" t="str">
        <x:v>Pavé MOMOS Durazno</x:v>
      </x:c>
      <x:c r="C173" s="70" t="str">
        <x:v>TOP-DURAZNO</x:v>
      </x:c>
      <x:c r="D173" s="70" t="str">
        <x:v>Topping Durazno</x:v>
      </x:c>
      <x:c r="E173" s="114" t="n">
        <x:v>0.01</x:v>
      </x:c>
      <x:c r="F173" s="114" t="str">
        <x:v>kg</x:v>
      </x:c>
      <x:c r="G173" s="114" t="n">
        <x:v>0.01</x:v>
      </x:c>
      <x:c r="H173" s="70" t="str">
        <x:v>INSUMO_O_SUBRECETA</x:v>
      </x:c>
      <x:c r="I173" s="70" t="str">
        <x:v>SI</x:v>
      </x:c>
      <x:c r="J173" s="70" t="str">
        <x:v>AL_ENSAMBLAR</x:v>
      </x:c>
      <x:c r="K173" s="71" t="str"/>
    </x:row>
    <x:row r="174">
      <x:c r="A174" s="69" t="str">
        <x:v>PAV-DUR-270</x:v>
      </x:c>
      <x:c r="B174" s="70" t="str">
        <x:v>Pavé MOMOS Durazno</x:v>
      </x:c>
      <x:c r="C174" s="70" t="str">
        <x:v>FIG-HOR-DUR</x:v>
      </x:c>
      <x:c r="D174" s="70" t="str">
        <x:v>Figurita horizontal Durazno</x:v>
      </x:c>
      <x:c r="E174" s="114" t="n">
        <x:v>1</x:v>
      </x:c>
      <x:c r="F174" s="114" t="str">
        <x:v>und</x:v>
      </x:c>
      <x:c r="G174" s="114" t="n">
        <x:v>0</x:v>
      </x:c>
      <x:c r="H174" s="70" t="str">
        <x:v>SEMITERMINADO</x:v>
      </x:c>
      <x:c r="I174" s="70" t="str">
        <x:v>SI</x:v>
      </x:c>
      <x:c r="J174" s="70" t="str">
        <x:v>AL_ENSAMBLAR</x:v>
      </x:c>
      <x:c r="K174" s="71" t="str">
        <x:v>Peso pendiente de validar; se consume por unidad.</x:v>
      </x:c>
    </x:row>
    <x:row r="175">
      <x:c r="A175" s="69" t="str">
        <x:v>PAV-MNM-270</x:v>
      </x:c>
      <x:c r="B175" s="70" t="str">
        <x:v>Pavé MOMOS M&amp;M</x:v>
      </x:c>
      <x:c r="C175" s="70" t="str">
        <x:v>BASE-CHEESECAKE-NEUTRO</x:v>
      </x:c>
      <x:c r="D175" s="70" t="str">
        <x:v>Crema cheesecake / crema de pavé</x:v>
      </x:c>
      <x:c r="E175" s="114" t="n">
        <x:v>0.12</x:v>
      </x:c>
      <x:c r="F175" s="114" t="str">
        <x:v>kg</x:v>
      </x:c>
      <x:c r="G175" s="114" t="n">
        <x:v>0.12</x:v>
      </x:c>
      <x:c r="H175" s="70" t="str">
        <x:v>SUBRECETA</x:v>
      </x:c>
      <x:c r="I175" s="70" t="str">
        <x:v>SI</x:v>
      </x:c>
      <x:c r="J175" s="70" t="str">
        <x:v>AL_ENSAMBLAR</x:v>
      </x:c>
      <x:c r="K175" s="71" t="str"/>
    </x:row>
    <x:row r="176">
      <x:c r="A176" s="69" t="str">
        <x:v>PAV-MNM-270</x:v>
      </x:c>
      <x:c r="B176" s="70" t="str">
        <x:v>Pavé MOMOS M&amp;M</x:v>
      </x:c>
      <x:c r="C176" s="70" t="str">
        <x:v>BASE-MOUSSE-MNM</x:v>
      </x:c>
      <x:c r="D176" s="70" t="str">
        <x:v>Mousse M&amp;M</x:v>
      </x:c>
      <x:c r="E176" s="114" t="n">
        <x:v>0.075</x:v>
      </x:c>
      <x:c r="F176" s="114" t="str">
        <x:v>kg</x:v>
      </x:c>
      <x:c r="G176" s="114" t="n">
        <x:v>0.075</x:v>
      </x:c>
      <x:c r="H176" s="70" t="str">
        <x:v>SUBRECETA</x:v>
      </x:c>
      <x:c r="I176" s="70" t="str">
        <x:v>SI</x:v>
      </x:c>
      <x:c r="J176" s="70" t="str">
        <x:v>AL_ENSAMBLAR</x:v>
      </x:c>
      <x:c r="K176" s="71" t="str"/>
    </x:row>
    <x:row r="177">
      <x:c r="A177" s="69" t="str">
        <x:v>PAV-MNM-270</x:v>
      </x:c>
      <x:c r="B177" s="70" t="str">
        <x:v>Pavé MOMOS M&amp;M</x:v>
      </x:c>
      <x:c r="C177" s="70" t="str">
        <x:v>INS-GALLETA-SALTIN</x:v>
      </x:c>
      <x:c r="D177" s="70" t="str">
        <x:v>Galleta Saltín</x:v>
      </x:c>
      <x:c r="E177" s="114" t="n">
        <x:v>0.04</x:v>
      </x:c>
      <x:c r="F177" s="114" t="str">
        <x:v>kg</x:v>
      </x:c>
      <x:c r="G177" s="114" t="n">
        <x:v>0.04</x:v>
      </x:c>
      <x:c r="H177" s="70" t="str">
        <x:v>INSUMO</x:v>
      </x:c>
      <x:c r="I177" s="70" t="str">
        <x:v>SI</x:v>
      </x:c>
      <x:c r="J177" s="70" t="str">
        <x:v>AL_ENSAMBLAR</x:v>
      </x:c>
      <x:c r="K177" s="71" t="str"/>
    </x:row>
    <x:row r="178">
      <x:c r="A178" s="69" t="str">
        <x:v>PAV-MNM-270</x:v>
      </x:c>
      <x:c r="B178" s="70" t="str">
        <x:v>Pavé MOMOS M&amp;M</x:v>
      </x:c>
      <x:c r="C178" s="70" t="str">
        <x:v>BASE-SALSA-CHOCOLATE</x:v>
      </x:c>
      <x:c r="D178" s="70" t="str">
        <x:v>Salsa/ganache M&amp;M</x:v>
      </x:c>
      <x:c r="E178" s="114" t="n">
        <x:v>0.025</x:v>
      </x:c>
      <x:c r="F178" s="114" t="str">
        <x:v>kg</x:v>
      </x:c>
      <x:c r="G178" s="114" t="n">
        <x:v>0.025</x:v>
      </x:c>
      <x:c r="H178" s="70" t="str">
        <x:v>SUBRECETA</x:v>
      </x:c>
      <x:c r="I178" s="70" t="str">
        <x:v>SI</x:v>
      </x:c>
      <x:c r="J178" s="70" t="str">
        <x:v>AL_ENSAMBLAR</x:v>
      </x:c>
      <x:c r="K178" s="71" t="str"/>
    </x:row>
    <x:row r="179">
      <x:c r="A179" s="69" t="str">
        <x:v>PAV-MNM-270</x:v>
      </x:c>
      <x:c r="B179" s="70" t="str">
        <x:v>Pavé MOMOS M&amp;M</x:v>
      </x:c>
      <x:c r="C179" s="70" t="str">
        <x:v>TOP-MNM</x:v>
      </x:c>
      <x:c r="D179" s="70" t="str">
        <x:v>Topping M&amp;M</x:v>
      </x:c>
      <x:c r="E179" s="114" t="n">
        <x:v>0.01</x:v>
      </x:c>
      <x:c r="F179" s="114" t="str">
        <x:v>kg</x:v>
      </x:c>
      <x:c r="G179" s="114" t="n">
        <x:v>0.01</x:v>
      </x:c>
      <x:c r="H179" s="70" t="str">
        <x:v>INSUMO_O_SUBRECETA</x:v>
      </x:c>
      <x:c r="I179" s="70" t="str">
        <x:v>SI</x:v>
      </x:c>
      <x:c r="J179" s="70" t="str">
        <x:v>AL_ENSAMBLAR</x:v>
      </x:c>
      <x:c r="K179" s="71" t="str"/>
    </x:row>
    <x:row r="180">
      <x:c r="A180" s="69" t="str">
        <x:v>PAV-MNM-270</x:v>
      </x:c>
      <x:c r="B180" s="70" t="str">
        <x:v>Pavé MOMOS M&amp;M</x:v>
      </x:c>
      <x:c r="C180" s="70" t="str">
        <x:v>FIG-HOR-MNM</x:v>
      </x:c>
      <x:c r="D180" s="70" t="str">
        <x:v>Figurita horizontal M&amp;M</x:v>
      </x:c>
      <x:c r="E180" s="114" t="n">
        <x:v>1</x:v>
      </x:c>
      <x:c r="F180" s="114" t="str">
        <x:v>und</x:v>
      </x:c>
      <x:c r="G180" s="114" t="n">
        <x:v>0</x:v>
      </x:c>
      <x:c r="H180" s="70" t="str">
        <x:v>SEMITERMINADO</x:v>
      </x:c>
      <x:c r="I180" s="70" t="str">
        <x:v>SI</x:v>
      </x:c>
      <x:c r="J180" s="70" t="str">
        <x:v>AL_ENSAMBLAR</x:v>
      </x:c>
      <x:c r="K180" s="71" t="str">
        <x:v>Peso pendiente de validar; se consume por unidad.</x:v>
      </x:c>
    </x:row>
    <x:row r="181">
      <x:c r="A181" s="69" t="str">
        <x:v>PAV-ORE-270</x:v>
      </x:c>
      <x:c r="B181" s="70" t="str">
        <x:v>Pavé MOMOS Oreo</x:v>
      </x:c>
      <x:c r="C181" s="70" t="str">
        <x:v>BASE-CHEESECAKE-NEUTRO</x:v>
      </x:c>
      <x:c r="D181" s="70" t="str">
        <x:v>Crema cheesecake / crema de pavé</x:v>
      </x:c>
      <x:c r="E181" s="114" t="n">
        <x:v>0.12</x:v>
      </x:c>
      <x:c r="F181" s="114" t="str">
        <x:v>kg</x:v>
      </x:c>
      <x:c r="G181" s="114" t="n">
        <x:v>0.12</x:v>
      </x:c>
      <x:c r="H181" s="70" t="str">
        <x:v>SUBRECETA</x:v>
      </x:c>
      <x:c r="I181" s="70" t="str">
        <x:v>SI</x:v>
      </x:c>
      <x:c r="J181" s="70" t="str">
        <x:v>AL_ENSAMBLAR</x:v>
      </x:c>
      <x:c r="K181" s="71" t="str"/>
    </x:row>
    <x:row r="182">
      <x:c r="A182" s="69" t="str">
        <x:v>PAV-ORE-270</x:v>
      </x:c>
      <x:c r="B182" s="70" t="str">
        <x:v>Pavé MOMOS Oreo</x:v>
      </x:c>
      <x:c r="C182" s="70" t="str">
        <x:v>BASE-MOUSSE-OREO</x:v>
      </x:c>
      <x:c r="D182" s="70" t="str">
        <x:v>Mousse Oreo</x:v>
      </x:c>
      <x:c r="E182" s="114" t="n">
        <x:v>0.075</x:v>
      </x:c>
      <x:c r="F182" s="114" t="str">
        <x:v>kg</x:v>
      </x:c>
      <x:c r="G182" s="114" t="n">
        <x:v>0.075</x:v>
      </x:c>
      <x:c r="H182" s="70" t="str">
        <x:v>SUBRECETA</x:v>
      </x:c>
      <x:c r="I182" s="70" t="str">
        <x:v>SI</x:v>
      </x:c>
      <x:c r="J182" s="70" t="str">
        <x:v>AL_ENSAMBLAR</x:v>
      </x:c>
      <x:c r="K182" s="71" t="str"/>
    </x:row>
    <x:row r="183">
      <x:c r="A183" s="69" t="str">
        <x:v>PAV-ORE-270</x:v>
      </x:c>
      <x:c r="B183" s="70" t="str">
        <x:v>Pavé MOMOS Oreo</x:v>
      </x:c>
      <x:c r="C183" s="70" t="str">
        <x:v>INS-GALLETA-SALTIN</x:v>
      </x:c>
      <x:c r="D183" s="70" t="str">
        <x:v>Galleta Saltín</x:v>
      </x:c>
      <x:c r="E183" s="114" t="n">
        <x:v>0.04</x:v>
      </x:c>
      <x:c r="F183" s="114" t="str">
        <x:v>kg</x:v>
      </x:c>
      <x:c r="G183" s="114" t="n">
        <x:v>0.04</x:v>
      </x:c>
      <x:c r="H183" s="70" t="str">
        <x:v>INSUMO</x:v>
      </x:c>
      <x:c r="I183" s="70" t="str">
        <x:v>SI</x:v>
      </x:c>
      <x:c r="J183" s="70" t="str">
        <x:v>AL_ENSAMBLAR</x:v>
      </x:c>
      <x:c r="K183" s="71" t="str"/>
    </x:row>
    <x:row r="184">
      <x:c r="A184" s="69" t="str">
        <x:v>PAV-ORE-270</x:v>
      </x:c>
      <x:c r="B184" s="70" t="str">
        <x:v>Pavé MOMOS Oreo</x:v>
      </x:c>
      <x:c r="C184" s="70" t="str">
        <x:v>BASE-SALSA-CHOCOLATE</x:v>
      </x:c>
      <x:c r="D184" s="70" t="str">
        <x:v>Salsa/ganache Oreo</x:v>
      </x:c>
      <x:c r="E184" s="114" t="n">
        <x:v>0.025</x:v>
      </x:c>
      <x:c r="F184" s="114" t="str">
        <x:v>kg</x:v>
      </x:c>
      <x:c r="G184" s="114" t="n">
        <x:v>0.025</x:v>
      </x:c>
      <x:c r="H184" s="70" t="str">
        <x:v>SUBRECETA</x:v>
      </x:c>
      <x:c r="I184" s="70" t="str">
        <x:v>SI</x:v>
      </x:c>
      <x:c r="J184" s="70" t="str">
        <x:v>AL_ENSAMBLAR</x:v>
      </x:c>
      <x:c r="K184" s="71" t="str"/>
    </x:row>
    <x:row r="185">
      <x:c r="A185" s="69" t="str">
        <x:v>PAV-ORE-270</x:v>
      </x:c>
      <x:c r="B185" s="70" t="str">
        <x:v>Pavé MOMOS Oreo</x:v>
      </x:c>
      <x:c r="C185" s="70" t="str">
        <x:v>TOP-OREO-TRITURADA</x:v>
      </x:c>
      <x:c r="D185" s="70" t="str">
        <x:v>Topping Oreo</x:v>
      </x:c>
      <x:c r="E185" s="114" t="n">
        <x:v>0.01</x:v>
      </x:c>
      <x:c r="F185" s="114" t="str">
        <x:v>kg</x:v>
      </x:c>
      <x:c r="G185" s="114" t="n">
        <x:v>0.01</x:v>
      </x:c>
      <x:c r="H185" s="70" t="str">
        <x:v>INSUMO_O_SUBRECETA</x:v>
      </x:c>
      <x:c r="I185" s="70" t="str">
        <x:v>SI</x:v>
      </x:c>
      <x:c r="J185" s="70" t="str">
        <x:v>AL_ENSAMBLAR</x:v>
      </x:c>
      <x:c r="K185" s="71" t="str"/>
    </x:row>
    <x:row r="186">
      <x:c r="A186" s="69" t="str">
        <x:v>PAV-ORE-270</x:v>
      </x:c>
      <x:c r="B186" s="70" t="str">
        <x:v>Pavé MOMOS Oreo</x:v>
      </x:c>
      <x:c r="C186" s="70" t="str">
        <x:v>FIG-HOR-ORE</x:v>
      </x:c>
      <x:c r="D186" s="70" t="str">
        <x:v>Figurita horizontal Oreo</x:v>
      </x:c>
      <x:c r="E186" s="114" t="n">
        <x:v>1</x:v>
      </x:c>
      <x:c r="F186" s="114" t="str">
        <x:v>und</x:v>
      </x:c>
      <x:c r="G186" s="114" t="n">
        <x:v>0</x:v>
      </x:c>
      <x:c r="H186" s="70" t="str">
        <x:v>SEMITERMINADO</x:v>
      </x:c>
      <x:c r="I186" s="70" t="str">
        <x:v>SI</x:v>
      </x:c>
      <x:c r="J186" s="70" t="str">
        <x:v>AL_ENSAMBLAR</x:v>
      </x:c>
      <x:c r="K186" s="71" t="str">
        <x:v>Peso pendiente de validar; se consume por unidad.</x:v>
      </x:c>
    </x:row>
    <x:row r="187">
      <x:c r="A187" s="69" t="str">
        <x:v>PAV-CSL-270</x:v>
      </x:c>
      <x:c r="B187" s="70" t="str">
        <x:v>Pavé MOMOS Caramelo salado</x:v>
      </x:c>
      <x:c r="C187" s="70" t="str">
        <x:v>BASE-CHEESECAKE-NEUTRO</x:v>
      </x:c>
      <x:c r="D187" s="70" t="str">
        <x:v>Crema cheesecake / crema de pavé</x:v>
      </x:c>
      <x:c r="E187" s="114" t="n">
        <x:v>0.12</x:v>
      </x:c>
      <x:c r="F187" s="114" t="str">
        <x:v>kg</x:v>
      </x:c>
      <x:c r="G187" s="114" t="n">
        <x:v>0.12</x:v>
      </x:c>
      <x:c r="H187" s="70" t="str">
        <x:v>SUBRECETA</x:v>
      </x:c>
      <x:c r="I187" s="70" t="str">
        <x:v>SI</x:v>
      </x:c>
      <x:c r="J187" s="70" t="str">
        <x:v>AL_ENSAMBLAR</x:v>
      </x:c>
      <x:c r="K187" s="71" t="str"/>
    </x:row>
    <x:row r="188">
      <x:c r="A188" s="69" t="str">
        <x:v>PAV-CSL-270</x:v>
      </x:c>
      <x:c r="B188" s="70" t="str">
        <x:v>Pavé MOMOS Caramelo salado</x:v>
      </x:c>
      <x:c r="C188" s="70" t="str">
        <x:v>BASE-MOUSSE-CARAMELO-SALADO</x:v>
      </x:c>
      <x:c r="D188" s="70" t="str">
        <x:v>Mousse Caramelo salado</x:v>
      </x:c>
      <x:c r="E188" s="114" t="n">
        <x:v>0.075</x:v>
      </x:c>
      <x:c r="F188" s="114" t="str">
        <x:v>kg</x:v>
      </x:c>
      <x:c r="G188" s="114" t="n">
        <x:v>0.075</x:v>
      </x:c>
      <x:c r="H188" s="70" t="str">
        <x:v>SUBRECETA</x:v>
      </x:c>
      <x:c r="I188" s="70" t="str">
        <x:v>SI</x:v>
      </x:c>
      <x:c r="J188" s="70" t="str">
        <x:v>AL_ENSAMBLAR</x:v>
      </x:c>
      <x:c r="K188" s="71" t="str"/>
    </x:row>
    <x:row r="189">
      <x:c r="A189" s="69" t="str">
        <x:v>PAV-CSL-270</x:v>
      </x:c>
      <x:c r="B189" s="70" t="str">
        <x:v>Pavé MOMOS Caramelo salado</x:v>
      </x:c>
      <x:c r="C189" s="70" t="str">
        <x:v>INS-GALLETA-SALTIN</x:v>
      </x:c>
      <x:c r="D189" s="70" t="str">
        <x:v>Galleta Saltín</x:v>
      </x:c>
      <x:c r="E189" s="114" t="n">
        <x:v>0.04</x:v>
      </x:c>
      <x:c r="F189" s="114" t="str">
        <x:v>kg</x:v>
      </x:c>
      <x:c r="G189" s="114" t="n">
        <x:v>0.04</x:v>
      </x:c>
      <x:c r="H189" s="70" t="str">
        <x:v>INSUMO</x:v>
      </x:c>
      <x:c r="I189" s="70" t="str">
        <x:v>SI</x:v>
      </x:c>
      <x:c r="J189" s="70" t="str">
        <x:v>AL_ENSAMBLAR</x:v>
      </x:c>
      <x:c r="K189" s="71" t="str"/>
    </x:row>
    <x:row r="190">
      <x:c r="A190" s="69" t="str">
        <x:v>PAV-CSL-270</x:v>
      </x:c>
      <x:c r="B190" s="70" t="str">
        <x:v>Pavé MOMOS Caramelo salado</x:v>
      </x:c>
      <x:c r="C190" s="70" t="str">
        <x:v>BASE-CARAMELO-SALADO</x:v>
      </x:c>
      <x:c r="D190" s="70" t="str">
        <x:v>Salsa/ganache Caramelo salado</x:v>
      </x:c>
      <x:c r="E190" s="114" t="n">
        <x:v>0.025</x:v>
      </x:c>
      <x:c r="F190" s="114" t="str">
        <x:v>kg</x:v>
      </x:c>
      <x:c r="G190" s="114" t="n">
        <x:v>0.025</x:v>
      </x:c>
      <x:c r="H190" s="70" t="str">
        <x:v>SUBRECETA</x:v>
      </x:c>
      <x:c r="I190" s="70" t="str">
        <x:v>SI</x:v>
      </x:c>
      <x:c r="J190" s="70" t="str">
        <x:v>AL_ENSAMBLAR</x:v>
      </x:c>
      <x:c r="K190" s="71" t="str"/>
    </x:row>
    <x:row r="191">
      <x:c r="A191" s="69" t="str">
        <x:v>PAV-CSL-270</x:v>
      </x:c>
      <x:c r="B191" s="70" t="str">
        <x:v>Pavé MOMOS Caramelo salado</x:v>
      </x:c>
      <x:c r="C191" s="70" t="str">
        <x:v>TOP-CROCANTE-CARAMELO</x:v>
      </x:c>
      <x:c r="D191" s="70" t="str">
        <x:v>Topping Caramelo salado</x:v>
      </x:c>
      <x:c r="E191" s="114" t="n">
        <x:v>0.01</x:v>
      </x:c>
      <x:c r="F191" s="114" t="str">
        <x:v>kg</x:v>
      </x:c>
      <x:c r="G191" s="114" t="n">
        <x:v>0.01</x:v>
      </x:c>
      <x:c r="H191" s="70" t="str">
        <x:v>INSUMO_O_SUBRECETA</x:v>
      </x:c>
      <x:c r="I191" s="70" t="str">
        <x:v>SI</x:v>
      </x:c>
      <x:c r="J191" s="70" t="str">
        <x:v>AL_ENSAMBLAR</x:v>
      </x:c>
      <x:c r="K191" s="71" t="str"/>
    </x:row>
    <x:row r="192">
      <x:c r="A192" s="69" t="str">
        <x:v>PAV-CSL-270</x:v>
      </x:c>
      <x:c r="B192" s="70" t="str">
        <x:v>Pavé MOMOS Caramelo salado</x:v>
      </x:c>
      <x:c r="C192" s="70" t="str">
        <x:v>FIG-HOR-CSL</x:v>
      </x:c>
      <x:c r="D192" s="70" t="str">
        <x:v>Figurita horizontal Caramelo salado</x:v>
      </x:c>
      <x:c r="E192" s="114" t="n">
        <x:v>1</x:v>
      </x:c>
      <x:c r="F192" s="114" t="str">
        <x:v>und</x:v>
      </x:c>
      <x:c r="G192" s="114" t="n">
        <x:v>0</x:v>
      </x:c>
      <x:c r="H192" s="70" t="str">
        <x:v>SEMITERMINADO</x:v>
      </x:c>
      <x:c r="I192" s="70" t="str">
        <x:v>SI</x:v>
      </x:c>
      <x:c r="J192" s="70" t="str">
        <x:v>AL_ENSAMBLAR</x:v>
      </x:c>
      <x:c r="K192" s="71" t="str">
        <x:v>Peso pendiente de validar; se consume por unidad.</x:v>
      </x:c>
    </x:row>
    <x:row r="193">
      <x:c r="A193" s="69" t="str">
        <x:v>PAV-NUT-270</x:v>
      </x:c>
      <x:c r="B193" s="70" t="str">
        <x:v>Pavé MOMOS Nutella</x:v>
      </x:c>
      <x:c r="C193" s="70" t="str">
        <x:v>BASE-CHEESECAKE-NEUTRO</x:v>
      </x:c>
      <x:c r="D193" s="70" t="str">
        <x:v>Crema cheesecake / crema de pavé</x:v>
      </x:c>
      <x:c r="E193" s="114" t="n">
        <x:v>0.12</x:v>
      </x:c>
      <x:c r="F193" s="114" t="str">
        <x:v>kg</x:v>
      </x:c>
      <x:c r="G193" s="114" t="n">
        <x:v>0.12</x:v>
      </x:c>
      <x:c r="H193" s="70" t="str">
        <x:v>SUBRECETA</x:v>
      </x:c>
      <x:c r="I193" s="70" t="str">
        <x:v>SI</x:v>
      </x:c>
      <x:c r="J193" s="70" t="str">
        <x:v>AL_ENSAMBLAR</x:v>
      </x:c>
      <x:c r="K193" s="71" t="str"/>
    </x:row>
    <x:row r="194">
      <x:c r="A194" s="69" t="str">
        <x:v>PAV-NUT-270</x:v>
      </x:c>
      <x:c r="B194" s="70" t="str">
        <x:v>Pavé MOMOS Nutella</x:v>
      </x:c>
      <x:c r="C194" s="70" t="str">
        <x:v>BASE-MOUSSE-NUTELLA</x:v>
      </x:c>
      <x:c r="D194" s="70" t="str">
        <x:v>Mousse Nutella</x:v>
      </x:c>
      <x:c r="E194" s="114" t="n">
        <x:v>0.075</x:v>
      </x:c>
      <x:c r="F194" s="114" t="str">
        <x:v>kg</x:v>
      </x:c>
      <x:c r="G194" s="114" t="n">
        <x:v>0.075</x:v>
      </x:c>
      <x:c r="H194" s="70" t="str">
        <x:v>SUBRECETA</x:v>
      </x:c>
      <x:c r="I194" s="70" t="str">
        <x:v>SI</x:v>
      </x:c>
      <x:c r="J194" s="70" t="str">
        <x:v>AL_ENSAMBLAR</x:v>
      </x:c>
      <x:c r="K194" s="71" t="str"/>
    </x:row>
    <x:row r="195">
      <x:c r="A195" s="69" t="str">
        <x:v>PAV-NUT-270</x:v>
      </x:c>
      <x:c r="B195" s="70" t="str">
        <x:v>Pavé MOMOS Nutella</x:v>
      </x:c>
      <x:c r="C195" s="70" t="str">
        <x:v>INS-GALLETA-SALTIN</x:v>
      </x:c>
      <x:c r="D195" s="70" t="str">
        <x:v>Galleta Saltín</x:v>
      </x:c>
      <x:c r="E195" s="114" t="n">
        <x:v>0.04</x:v>
      </x:c>
      <x:c r="F195" s="114" t="str">
        <x:v>kg</x:v>
      </x:c>
      <x:c r="G195" s="114" t="n">
        <x:v>0.04</x:v>
      </x:c>
      <x:c r="H195" s="70" t="str">
        <x:v>INSUMO</x:v>
      </x:c>
      <x:c r="I195" s="70" t="str">
        <x:v>SI</x:v>
      </x:c>
      <x:c r="J195" s="70" t="str">
        <x:v>AL_ENSAMBLAR</x:v>
      </x:c>
      <x:c r="K195" s="71" t="str"/>
    </x:row>
    <x:row r="196">
      <x:c r="A196" s="69" t="str">
        <x:v>PAV-NUT-270</x:v>
      </x:c>
      <x:c r="B196" s="70" t="str">
        <x:v>Pavé MOMOS Nutella</x:v>
      </x:c>
      <x:c r="C196" s="70" t="str">
        <x:v>BASE-SALSA-NUTELLA</x:v>
      </x:c>
      <x:c r="D196" s="70" t="str">
        <x:v>Salsa/ganache Nutella</x:v>
      </x:c>
      <x:c r="E196" s="114" t="n">
        <x:v>0.025</x:v>
      </x:c>
      <x:c r="F196" s="114" t="str">
        <x:v>kg</x:v>
      </x:c>
      <x:c r="G196" s="114" t="n">
        <x:v>0.025</x:v>
      </x:c>
      <x:c r="H196" s="70" t="str">
        <x:v>SUBRECETA</x:v>
      </x:c>
      <x:c r="I196" s="70" t="str">
        <x:v>SI</x:v>
      </x:c>
      <x:c r="J196" s="70" t="str">
        <x:v>AL_ENSAMBLAR</x:v>
      </x:c>
      <x:c r="K196" s="71" t="str"/>
    </x:row>
    <x:row r="197">
      <x:c r="A197" s="69" t="str">
        <x:v>PAV-NUT-270</x:v>
      </x:c>
      <x:c r="B197" s="70" t="str">
        <x:v>Pavé MOMOS Nutella</x:v>
      </x:c>
      <x:c r="C197" s="70" t="str">
        <x:v>TOP-AVELLANA</x:v>
      </x:c>
      <x:c r="D197" s="70" t="str">
        <x:v>Topping Nutella</x:v>
      </x:c>
      <x:c r="E197" s="114" t="n">
        <x:v>0.01</x:v>
      </x:c>
      <x:c r="F197" s="114" t="str">
        <x:v>kg</x:v>
      </x:c>
      <x:c r="G197" s="114" t="n">
        <x:v>0.01</x:v>
      </x:c>
      <x:c r="H197" s="70" t="str">
        <x:v>INSUMO_O_SUBRECETA</x:v>
      </x:c>
      <x:c r="I197" s="70" t="str">
        <x:v>SI</x:v>
      </x:c>
      <x:c r="J197" s="70" t="str">
        <x:v>AL_ENSAMBLAR</x:v>
      </x:c>
      <x:c r="K197" s="71" t="str"/>
    </x:row>
    <x:row r="198">
      <x:c r="A198" s="69" t="str">
        <x:v>PAV-NUT-270</x:v>
      </x:c>
      <x:c r="B198" s="70" t="str">
        <x:v>Pavé MOMOS Nutella</x:v>
      </x:c>
      <x:c r="C198" s="70" t="str">
        <x:v>FIG-HOR-NUT</x:v>
      </x:c>
      <x:c r="D198" s="70" t="str">
        <x:v>Figurita horizontal Nutella</x:v>
      </x:c>
      <x:c r="E198" s="114" t="n">
        <x:v>1</x:v>
      </x:c>
      <x:c r="F198" s="114" t="str">
        <x:v>und</x:v>
      </x:c>
      <x:c r="G198" s="114" t="n">
        <x:v>0</x:v>
      </x:c>
      <x:c r="H198" s="70" t="str">
        <x:v>SEMITERMINADO</x:v>
      </x:c>
      <x:c r="I198" s="70" t="str">
        <x:v>SI</x:v>
      </x:c>
      <x:c r="J198" s="70" t="str">
        <x:v>AL_ENSAMBLAR</x:v>
      </x:c>
      <x:c r="K198" s="71" t="str">
        <x:v>Peso pendiente de validar; se consume por unidad.</x:v>
      </x:c>
    </x:row>
    <x:row r="199">
      <x:c r="A199" s="69" t="str">
        <x:v>PAV-MIL-270</x:v>
      </x:c>
      <x:c r="B199" s="70" t="str">
        <x:v>Pavé MOMOS Milo</x:v>
      </x:c>
      <x:c r="C199" s="70" t="str">
        <x:v>BASE-CHEESECAKE-NEUTRO</x:v>
      </x:c>
      <x:c r="D199" s="70" t="str">
        <x:v>Crema cheesecake / crema de pavé</x:v>
      </x:c>
      <x:c r="E199" s="114" t="n">
        <x:v>0.12</x:v>
      </x:c>
      <x:c r="F199" s="114" t="str">
        <x:v>kg</x:v>
      </x:c>
      <x:c r="G199" s="114" t="n">
        <x:v>0.12</x:v>
      </x:c>
      <x:c r="H199" s="70" t="str">
        <x:v>SUBRECETA</x:v>
      </x:c>
      <x:c r="I199" s="70" t="str">
        <x:v>SI</x:v>
      </x:c>
      <x:c r="J199" s="70" t="str">
        <x:v>AL_ENSAMBLAR</x:v>
      </x:c>
      <x:c r="K199" s="71" t="str"/>
    </x:row>
    <x:row r="200">
      <x:c r="A200" s="69" t="str">
        <x:v>PAV-MIL-270</x:v>
      </x:c>
      <x:c r="B200" s="70" t="str">
        <x:v>Pavé MOMOS Milo</x:v>
      </x:c>
      <x:c r="C200" s="70" t="str">
        <x:v>BASE-MOUSSE-MILO</x:v>
      </x:c>
      <x:c r="D200" s="70" t="str">
        <x:v>Mousse Milo</x:v>
      </x:c>
      <x:c r="E200" s="114" t="n">
        <x:v>0.075</x:v>
      </x:c>
      <x:c r="F200" s="114" t="str">
        <x:v>kg</x:v>
      </x:c>
      <x:c r="G200" s="114" t="n">
        <x:v>0.075</x:v>
      </x:c>
      <x:c r="H200" s="70" t="str">
        <x:v>SUBRECETA</x:v>
      </x:c>
      <x:c r="I200" s="70" t="str">
        <x:v>SI</x:v>
      </x:c>
      <x:c r="J200" s="70" t="str">
        <x:v>AL_ENSAMBLAR</x:v>
      </x:c>
      <x:c r="K200" s="71" t="str"/>
    </x:row>
    <x:row r="201">
      <x:c r="A201" s="69" t="str">
        <x:v>PAV-MIL-270</x:v>
      </x:c>
      <x:c r="B201" s="70" t="str">
        <x:v>Pavé MOMOS Milo</x:v>
      </x:c>
      <x:c r="C201" s="70" t="str">
        <x:v>INS-GALLETA-SALTIN</x:v>
      </x:c>
      <x:c r="D201" s="70" t="str">
        <x:v>Galleta Saltín</x:v>
      </x:c>
      <x:c r="E201" s="114" t="n">
        <x:v>0.04</x:v>
      </x:c>
      <x:c r="F201" s="114" t="str">
        <x:v>kg</x:v>
      </x:c>
      <x:c r="G201" s="114" t="n">
        <x:v>0.04</x:v>
      </x:c>
      <x:c r="H201" s="70" t="str">
        <x:v>INSUMO</x:v>
      </x:c>
      <x:c r="I201" s="70" t="str">
        <x:v>SI</x:v>
      </x:c>
      <x:c r="J201" s="70" t="str">
        <x:v>AL_ENSAMBLAR</x:v>
      </x:c>
      <x:c r="K201" s="71" t="str"/>
    </x:row>
    <x:row r="202">
      <x:c r="A202" s="69" t="str">
        <x:v>PAV-MIL-270</x:v>
      </x:c>
      <x:c r="B202" s="70" t="str">
        <x:v>Pavé MOMOS Milo</x:v>
      </x:c>
      <x:c r="C202" s="70" t="str">
        <x:v>BASE-SALSA-CHOCOLATE</x:v>
      </x:c>
      <x:c r="D202" s="70" t="str">
        <x:v>Salsa/ganache Milo</x:v>
      </x:c>
      <x:c r="E202" s="114" t="n">
        <x:v>0.025</x:v>
      </x:c>
      <x:c r="F202" s="114" t="str">
        <x:v>kg</x:v>
      </x:c>
      <x:c r="G202" s="114" t="n">
        <x:v>0.025</x:v>
      </x:c>
      <x:c r="H202" s="70" t="str">
        <x:v>SUBRECETA</x:v>
      </x:c>
      <x:c r="I202" s="70" t="str">
        <x:v>SI</x:v>
      </x:c>
      <x:c r="J202" s="70" t="str">
        <x:v>AL_ENSAMBLAR</x:v>
      </x:c>
      <x:c r="K202" s="71" t="str"/>
    </x:row>
    <x:row r="203">
      <x:c r="A203" s="69" t="str">
        <x:v>PAV-MIL-270</x:v>
      </x:c>
      <x:c r="B203" s="70" t="str">
        <x:v>Pavé MOMOS Milo</x:v>
      </x:c>
      <x:c r="C203" s="70" t="str">
        <x:v>TOP-MILO</x:v>
      </x:c>
      <x:c r="D203" s="70" t="str">
        <x:v>Topping Milo</x:v>
      </x:c>
      <x:c r="E203" s="114" t="n">
        <x:v>0.01</x:v>
      </x:c>
      <x:c r="F203" s="114" t="str">
        <x:v>kg</x:v>
      </x:c>
      <x:c r="G203" s="114" t="n">
        <x:v>0.01</x:v>
      </x:c>
      <x:c r="H203" s="70" t="str">
        <x:v>INSUMO_O_SUBRECETA</x:v>
      </x:c>
      <x:c r="I203" s="70" t="str">
        <x:v>SI</x:v>
      </x:c>
      <x:c r="J203" s="70" t="str">
        <x:v>AL_ENSAMBLAR</x:v>
      </x:c>
      <x:c r="K203" s="71" t="str"/>
    </x:row>
    <x:row r="204">
      <x:c r="A204" s="69" t="str">
        <x:v>PAV-MIL-270</x:v>
      </x:c>
      <x:c r="B204" s="70" t="str">
        <x:v>Pavé MOMOS Milo</x:v>
      </x:c>
      <x:c r="C204" s="70" t="str">
        <x:v>FIG-HOR-MIL</x:v>
      </x:c>
      <x:c r="D204" s="70" t="str">
        <x:v>Figurita horizontal Milo</x:v>
      </x:c>
      <x:c r="E204" s="114" t="n">
        <x:v>1</x:v>
      </x:c>
      <x:c r="F204" s="114" t="str">
        <x:v>und</x:v>
      </x:c>
      <x:c r="G204" s="114" t="n">
        <x:v>0</x:v>
      </x:c>
      <x:c r="H204" s="70" t="str">
        <x:v>SEMITERMINADO</x:v>
      </x:c>
      <x:c r="I204" s="70" t="str">
        <x:v>SI</x:v>
      </x:c>
      <x:c r="J204" s="70" t="str">
        <x:v>AL_ENSAMBLAR</x:v>
      </x:c>
      <x:c r="K204" s="71" t="str">
        <x:v>Peso pendiente de validar; se consume por unidad.</x:v>
      </x:c>
    </x:row>
    <x:row r="205">
      <x:c r="A205" s="69" t="str">
        <x:v>CUC-MBI-270</x:v>
      </x:c>
      <x:c r="B205" s="70" t="str">
        <x:v>Cuchareable MOMOS Mango biche</x:v>
      </x:c>
      <x:c r="C205" s="70" t="str">
        <x:v>BASE-MOUSSE-MANGO-BICHE</x:v>
      </x:c>
      <x:c r="D205" s="70" t="str">
        <x:v>Mousse Mango biche</x:v>
      </x:c>
      <x:c r="E205" s="114" t="n">
        <x:v>0.1</x:v>
      </x:c>
      <x:c r="F205" s="114" t="str">
        <x:v>kg</x:v>
      </x:c>
      <x:c r="G205" s="114" t="n">
        <x:v>0.1</x:v>
      </x:c>
      <x:c r="H205" s="70" t="str">
        <x:v>SUBRECETA</x:v>
      </x:c>
      <x:c r="I205" s="70" t="str">
        <x:v>SI</x:v>
      </x:c>
      <x:c r="J205" s="70" t="str">
        <x:v>AL_ENSAMBLAR</x:v>
      </x:c>
      <x:c r="K205" s="71" t="str"/>
    </x:row>
    <x:row r="206">
      <x:c r="A206" s="69" t="str">
        <x:v>CUC-MBI-270</x:v>
      </x:c>
      <x:c r="B206" s="70" t="str">
        <x:v>Cuchareable MOMOS Mango biche</x:v>
      </x:c>
      <x:c r="C206" s="70" t="str">
        <x:v>BASE-CHEESECAKE-NEUTRO</x:v>
      </x:c>
      <x:c r="D206" s="70" t="str">
        <x:v>Cheesecake neutro</x:v>
      </x:c>
      <x:c r="E206" s="114" t="n">
        <x:v>0.05</x:v>
      </x:c>
      <x:c r="F206" s="114" t="str">
        <x:v>kg</x:v>
      </x:c>
      <x:c r="G206" s="114" t="n">
        <x:v>0.05</x:v>
      </x:c>
      <x:c r="H206" s="70" t="str">
        <x:v>SUBRECETA</x:v>
      </x:c>
      <x:c r="I206" s="70" t="str">
        <x:v>SI</x:v>
      </x:c>
      <x:c r="J206" s="70" t="str">
        <x:v>AL_ENSAMBLAR</x:v>
      </x:c>
      <x:c r="K206" s="71" t="str"/>
    </x:row>
    <x:row r="207">
      <x:c r="A207" s="69" t="str">
        <x:v>CUC-MBI-270</x:v>
      </x:c>
      <x:c r="B207" s="70" t="str">
        <x:v>Cuchareable MOMOS Mango biche</x:v>
      </x:c>
      <x:c r="C207" s="70" t="str">
        <x:v>BASE-CROCANTE-NEUTRO</x:v>
      </x:c>
      <x:c r="D207" s="70" t="str">
        <x:v>Crocante/galleta</x:v>
      </x:c>
      <x:c r="E207" s="114" t="n">
        <x:v>0.055</x:v>
      </x:c>
      <x:c r="F207" s="114" t="str">
        <x:v>kg</x:v>
      </x:c>
      <x:c r="G207" s="114" t="n">
        <x:v>0.055</x:v>
      </x:c>
      <x:c r="H207" s="70" t="str">
        <x:v>SUBRECETA</x:v>
      </x:c>
      <x:c r="I207" s="70" t="str">
        <x:v>SI</x:v>
      </x:c>
      <x:c r="J207" s="70" t="str">
        <x:v>AL_ENSAMBLAR</x:v>
      </x:c>
      <x:c r="K207" s="71" t="str"/>
    </x:row>
    <x:row r="208">
      <x:c r="A208" s="69" t="str">
        <x:v>CUC-MBI-270</x:v>
      </x:c>
      <x:c r="B208" s="70" t="str">
        <x:v>Cuchareable MOMOS Mango biche</x:v>
      </x:c>
      <x:c r="C208" s="70" t="str">
        <x:v>BASE-SALSA-MANGO-BICHE</x:v>
      </x:c>
      <x:c r="D208" s="70" t="str">
        <x:v>Salsa Mango biche</x:v>
      </x:c>
      <x:c r="E208" s="114" t="n">
        <x:v>0.035</x:v>
      </x:c>
      <x:c r="F208" s="114" t="str">
        <x:v>kg</x:v>
      </x:c>
      <x:c r="G208" s="114" t="n">
        <x:v>0.035</x:v>
      </x:c>
      <x:c r="H208" s="70" t="str">
        <x:v>SUBRECETA</x:v>
      </x:c>
      <x:c r="I208" s="70" t="str">
        <x:v>SI</x:v>
      </x:c>
      <x:c r="J208" s="70" t="str">
        <x:v>AL_ENSAMBLAR</x:v>
      </x:c>
      <x:c r="K208" s="71" t="str"/>
    </x:row>
    <x:row r="209">
      <x:c r="A209" s="69" t="str">
        <x:v>CUC-MBI-270</x:v>
      </x:c>
      <x:c r="B209" s="70" t="str">
        <x:v>Cuchareable MOMOS Mango biche</x:v>
      </x:c>
      <x:c r="C209" s="70" t="str">
        <x:v>TOP-MANGO-BICHE</x:v>
      </x:c>
      <x:c r="D209" s="70" t="str">
        <x:v>Topping Mango biche</x:v>
      </x:c>
      <x:c r="E209" s="114" t="n">
        <x:v>0.03</x:v>
      </x:c>
      <x:c r="F209" s="114" t="str">
        <x:v>kg</x:v>
      </x:c>
      <x:c r="G209" s="114" t="n">
        <x:v>0.03</x:v>
      </x:c>
      <x:c r="H209" s="70" t="str">
        <x:v>INSUMO_O_SUBRECETA</x:v>
      </x:c>
      <x:c r="I209" s="70" t="str">
        <x:v>SI</x:v>
      </x:c>
      <x:c r="J209" s="70" t="str">
        <x:v>AL_ENSAMBLAR</x:v>
      </x:c>
      <x:c r="K209" s="71" t="str"/>
    </x:row>
    <x:row r="210">
      <x:c r="A210" s="69" t="str">
        <x:v>CUC-MBI-270</x:v>
      </x:c>
      <x:c r="B210" s="70" t="str">
        <x:v>Cuchareable MOMOS Mango biche</x:v>
      </x:c>
      <x:c r="C210" s="70" t="str">
        <x:v>FIG-HOR-MBI</x:v>
      </x:c>
      <x:c r="D210" s="70" t="str">
        <x:v>Figurita horizontal Mango biche</x:v>
      </x:c>
      <x:c r="E210" s="114" t="n">
        <x:v>1</x:v>
      </x:c>
      <x:c r="F210" s="114" t="str">
        <x:v>und</x:v>
      </x:c>
      <x:c r="G210" s="114" t="n">
        <x:v>0</x:v>
      </x:c>
      <x:c r="H210" s="70" t="str">
        <x:v>SEMITERMINADO</x:v>
      </x:c>
      <x:c r="I210" s="70" t="str">
        <x:v>SI</x:v>
      </x:c>
      <x:c r="J210" s="70" t="str">
        <x:v>AL_ENSAMBLAR</x:v>
      </x:c>
      <x:c r="K210" s="71" t="str">
        <x:v>Peso pendiente de validar; se consume por unidad.</x:v>
      </x:c>
    </x:row>
    <x:row r="211">
      <x:c r="A211" s="69" t="str">
        <x:v>CUC-COC-270</x:v>
      </x:c>
      <x:c r="B211" s="70" t="str">
        <x:v>Cuchareable MOMOS Coco</x:v>
      </x:c>
      <x:c r="C211" s="70" t="str">
        <x:v>BASE-MOUSSE-COCO</x:v>
      </x:c>
      <x:c r="D211" s="70" t="str">
        <x:v>Mousse Coco</x:v>
      </x:c>
      <x:c r="E211" s="114" t="n">
        <x:v>0.1</x:v>
      </x:c>
      <x:c r="F211" s="114" t="str">
        <x:v>kg</x:v>
      </x:c>
      <x:c r="G211" s="114" t="n">
        <x:v>0.1</x:v>
      </x:c>
      <x:c r="H211" s="70" t="str">
        <x:v>SUBRECETA</x:v>
      </x:c>
      <x:c r="I211" s="70" t="str">
        <x:v>SI</x:v>
      </x:c>
      <x:c r="J211" s="70" t="str">
        <x:v>AL_ENSAMBLAR</x:v>
      </x:c>
      <x:c r="K211" s="71" t="str"/>
    </x:row>
    <x:row r="212">
      <x:c r="A212" s="69" t="str">
        <x:v>CUC-COC-270</x:v>
      </x:c>
      <x:c r="B212" s="70" t="str">
        <x:v>Cuchareable MOMOS Coco</x:v>
      </x:c>
      <x:c r="C212" s="70" t="str">
        <x:v>BASE-CHEESECAKE-NEUTRO</x:v>
      </x:c>
      <x:c r="D212" s="70" t="str">
        <x:v>Cheesecake neutro</x:v>
      </x:c>
      <x:c r="E212" s="114" t="n">
        <x:v>0.05</x:v>
      </x:c>
      <x:c r="F212" s="114" t="str">
        <x:v>kg</x:v>
      </x:c>
      <x:c r="G212" s="114" t="n">
        <x:v>0.05</x:v>
      </x:c>
      <x:c r="H212" s="70" t="str">
        <x:v>SUBRECETA</x:v>
      </x:c>
      <x:c r="I212" s="70" t="str">
        <x:v>SI</x:v>
      </x:c>
      <x:c r="J212" s="70" t="str">
        <x:v>AL_ENSAMBLAR</x:v>
      </x:c>
      <x:c r="K212" s="71" t="str"/>
    </x:row>
    <x:row r="213">
      <x:c r="A213" s="69" t="str">
        <x:v>CUC-COC-270</x:v>
      </x:c>
      <x:c r="B213" s="70" t="str">
        <x:v>Cuchareable MOMOS Coco</x:v>
      </x:c>
      <x:c r="C213" s="70" t="str">
        <x:v>BASE-CROCANTE-NEUTRO</x:v>
      </x:c>
      <x:c r="D213" s="70" t="str">
        <x:v>Crocante/galleta</x:v>
      </x:c>
      <x:c r="E213" s="114" t="n">
        <x:v>0.055</x:v>
      </x:c>
      <x:c r="F213" s="114" t="str">
        <x:v>kg</x:v>
      </x:c>
      <x:c r="G213" s="114" t="n">
        <x:v>0.055</x:v>
      </x:c>
      <x:c r="H213" s="70" t="str">
        <x:v>SUBRECETA</x:v>
      </x:c>
      <x:c r="I213" s="70" t="str">
        <x:v>SI</x:v>
      </x:c>
      <x:c r="J213" s="70" t="str">
        <x:v>AL_ENSAMBLAR</x:v>
      </x:c>
      <x:c r="K213" s="71" t="str"/>
    </x:row>
    <x:row r="214">
      <x:c r="A214" s="69" t="str">
        <x:v>CUC-COC-270</x:v>
      </x:c>
      <x:c r="B214" s="70" t="str">
        <x:v>Cuchareable MOMOS Coco</x:v>
      </x:c>
      <x:c r="C214" s="70" t="str">
        <x:v>BASE-SALSA-LECHE-CONDENSADA</x:v>
      </x:c>
      <x:c r="D214" s="70" t="str">
        <x:v>Salsa Coco</x:v>
      </x:c>
      <x:c r="E214" s="114" t="n">
        <x:v>0.035</x:v>
      </x:c>
      <x:c r="F214" s="114" t="str">
        <x:v>kg</x:v>
      </x:c>
      <x:c r="G214" s="114" t="n">
        <x:v>0.035</x:v>
      </x:c>
      <x:c r="H214" s="70" t="str">
        <x:v>SUBRECETA</x:v>
      </x:c>
      <x:c r="I214" s="70" t="str">
        <x:v>SI</x:v>
      </x:c>
      <x:c r="J214" s="70" t="str">
        <x:v>AL_ENSAMBLAR</x:v>
      </x:c>
      <x:c r="K214" s="71" t="str"/>
    </x:row>
    <x:row r="215">
      <x:c r="A215" s="69" t="str">
        <x:v>CUC-COC-270</x:v>
      </x:c>
      <x:c r="B215" s="70" t="str">
        <x:v>Cuchareable MOMOS Coco</x:v>
      </x:c>
      <x:c r="C215" s="70" t="str">
        <x:v>TOP-COCO-RALLADO</x:v>
      </x:c>
      <x:c r="D215" s="70" t="str">
        <x:v>Topping Coco</x:v>
      </x:c>
      <x:c r="E215" s="114" t="n">
        <x:v>0.03</x:v>
      </x:c>
      <x:c r="F215" s="114" t="str">
        <x:v>kg</x:v>
      </x:c>
      <x:c r="G215" s="114" t="n">
        <x:v>0.03</x:v>
      </x:c>
      <x:c r="H215" s="70" t="str">
        <x:v>INSUMO_O_SUBRECETA</x:v>
      </x:c>
      <x:c r="I215" s="70" t="str">
        <x:v>SI</x:v>
      </x:c>
      <x:c r="J215" s="70" t="str">
        <x:v>AL_ENSAMBLAR</x:v>
      </x:c>
      <x:c r="K215" s="71" t="str"/>
    </x:row>
    <x:row r="216">
      <x:c r="A216" s="69" t="str">
        <x:v>CUC-COC-270</x:v>
      </x:c>
      <x:c r="B216" s="70" t="str">
        <x:v>Cuchareable MOMOS Coco</x:v>
      </x:c>
      <x:c r="C216" s="70" t="str">
        <x:v>FIG-HOR-COC</x:v>
      </x:c>
      <x:c r="D216" s="70" t="str">
        <x:v>Figurita horizontal Coco</x:v>
      </x:c>
      <x:c r="E216" s="114" t="n">
        <x:v>1</x:v>
      </x:c>
      <x:c r="F216" s="114" t="str">
        <x:v>und</x:v>
      </x:c>
      <x:c r="G216" s="114" t="n">
        <x:v>0</x:v>
      </x:c>
      <x:c r="H216" s="70" t="str">
        <x:v>SEMITERMINADO</x:v>
      </x:c>
      <x:c r="I216" s="70" t="str">
        <x:v>SI</x:v>
      </x:c>
      <x:c r="J216" s="70" t="str">
        <x:v>AL_ENSAMBLAR</x:v>
      </x:c>
      <x:c r="K216" s="71" t="str">
        <x:v>Peso pendiente de validar; se consume por unidad.</x:v>
      </x:c>
    </x:row>
    <x:row r="217">
      <x:c r="A217" s="69" t="str">
        <x:v>CUC-MAR-270</x:v>
      </x:c>
      <x:c r="B217" s="70" t="str">
        <x:v>Cuchareable MOMOS Maracuyá</x:v>
      </x:c>
      <x:c r="C217" s="70" t="str">
        <x:v>BASE-MOUSSE-MARACUYA</x:v>
      </x:c>
      <x:c r="D217" s="70" t="str">
        <x:v>Mousse Maracuyá</x:v>
      </x:c>
      <x:c r="E217" s="114" t="n">
        <x:v>0.1</x:v>
      </x:c>
      <x:c r="F217" s="114" t="str">
        <x:v>kg</x:v>
      </x:c>
      <x:c r="G217" s="114" t="n">
        <x:v>0.1</x:v>
      </x:c>
      <x:c r="H217" s="70" t="str">
        <x:v>SUBRECETA</x:v>
      </x:c>
      <x:c r="I217" s="70" t="str">
        <x:v>SI</x:v>
      </x:c>
      <x:c r="J217" s="70" t="str">
        <x:v>AL_ENSAMBLAR</x:v>
      </x:c>
      <x:c r="K217" s="71" t="str"/>
    </x:row>
    <x:row r="218">
      <x:c r="A218" s="69" t="str">
        <x:v>CUC-MAR-270</x:v>
      </x:c>
      <x:c r="B218" s="70" t="str">
        <x:v>Cuchareable MOMOS Maracuyá</x:v>
      </x:c>
      <x:c r="C218" s="70" t="str">
        <x:v>BASE-CHEESECAKE-NEUTRO</x:v>
      </x:c>
      <x:c r="D218" s="70" t="str">
        <x:v>Cheesecake neutro</x:v>
      </x:c>
      <x:c r="E218" s="114" t="n">
        <x:v>0.05</x:v>
      </x:c>
      <x:c r="F218" s="114" t="str">
        <x:v>kg</x:v>
      </x:c>
      <x:c r="G218" s="114" t="n">
        <x:v>0.05</x:v>
      </x:c>
      <x:c r="H218" s="70" t="str">
        <x:v>SUBRECETA</x:v>
      </x:c>
      <x:c r="I218" s="70" t="str">
        <x:v>SI</x:v>
      </x:c>
      <x:c r="J218" s="70" t="str">
        <x:v>AL_ENSAMBLAR</x:v>
      </x:c>
      <x:c r="K218" s="71" t="str"/>
    </x:row>
    <x:row r="219">
      <x:c r="A219" s="69" t="str">
        <x:v>CUC-MAR-270</x:v>
      </x:c>
      <x:c r="B219" s="70" t="str">
        <x:v>Cuchareable MOMOS Maracuyá</x:v>
      </x:c>
      <x:c r="C219" s="70" t="str">
        <x:v>BASE-CROCANTE-NEUTRO</x:v>
      </x:c>
      <x:c r="D219" s="70" t="str">
        <x:v>Crocante/galleta</x:v>
      </x:c>
      <x:c r="E219" s="114" t="n">
        <x:v>0.055</x:v>
      </x:c>
      <x:c r="F219" s="114" t="str">
        <x:v>kg</x:v>
      </x:c>
      <x:c r="G219" s="114" t="n">
        <x:v>0.055</x:v>
      </x:c>
      <x:c r="H219" s="70" t="str">
        <x:v>SUBRECETA</x:v>
      </x:c>
      <x:c r="I219" s="70" t="str">
        <x:v>SI</x:v>
      </x:c>
      <x:c r="J219" s="70" t="str">
        <x:v>AL_ENSAMBLAR</x:v>
      </x:c>
      <x:c r="K219" s="71" t="str"/>
    </x:row>
    <x:row r="220">
      <x:c r="A220" s="69" t="str">
        <x:v>CUC-MAR-270</x:v>
      </x:c>
      <x:c r="B220" s="70" t="str">
        <x:v>Cuchareable MOMOS Maracuyá</x:v>
      </x:c>
      <x:c r="C220" s="70" t="str">
        <x:v>BASE-SALSA-MARACUYA</x:v>
      </x:c>
      <x:c r="D220" s="70" t="str">
        <x:v>Salsa Maracuyá</x:v>
      </x:c>
      <x:c r="E220" s="114" t="n">
        <x:v>0.035</x:v>
      </x:c>
      <x:c r="F220" s="114" t="str">
        <x:v>kg</x:v>
      </x:c>
      <x:c r="G220" s="114" t="n">
        <x:v>0.035</x:v>
      </x:c>
      <x:c r="H220" s="70" t="str">
        <x:v>SUBRECETA</x:v>
      </x:c>
      <x:c r="I220" s="70" t="str">
        <x:v>SI</x:v>
      </x:c>
      <x:c r="J220" s="70" t="str">
        <x:v>AL_ENSAMBLAR</x:v>
      </x:c>
      <x:c r="K220" s="71" t="str"/>
    </x:row>
    <x:row r="221">
      <x:c r="A221" s="69" t="str">
        <x:v>CUC-MAR-270</x:v>
      </x:c>
      <x:c r="B221" s="70" t="str">
        <x:v>Cuchareable MOMOS Maracuyá</x:v>
      </x:c>
      <x:c r="C221" s="70" t="str">
        <x:v>TOP-MARACUYA</x:v>
      </x:c>
      <x:c r="D221" s="70" t="str">
        <x:v>Topping Maracuyá</x:v>
      </x:c>
      <x:c r="E221" s="114" t="n">
        <x:v>0.03</x:v>
      </x:c>
      <x:c r="F221" s="114" t="str">
        <x:v>kg</x:v>
      </x:c>
      <x:c r="G221" s="114" t="n">
        <x:v>0.03</x:v>
      </x:c>
      <x:c r="H221" s="70" t="str">
        <x:v>INSUMO_O_SUBRECETA</x:v>
      </x:c>
      <x:c r="I221" s="70" t="str">
        <x:v>SI</x:v>
      </x:c>
      <x:c r="J221" s="70" t="str">
        <x:v>AL_ENSAMBLAR</x:v>
      </x:c>
      <x:c r="K221" s="71" t="str"/>
    </x:row>
    <x:row r="222">
      <x:c r="A222" s="69" t="str">
        <x:v>CUC-MAR-270</x:v>
      </x:c>
      <x:c r="B222" s="70" t="str">
        <x:v>Cuchareable MOMOS Maracuyá</x:v>
      </x:c>
      <x:c r="C222" s="70" t="str">
        <x:v>FIG-HOR-MAR</x:v>
      </x:c>
      <x:c r="D222" s="70" t="str">
        <x:v>Figurita horizontal Maracuyá</x:v>
      </x:c>
      <x:c r="E222" s="114" t="n">
        <x:v>1</x:v>
      </x:c>
      <x:c r="F222" s="114" t="str">
        <x:v>und</x:v>
      </x:c>
      <x:c r="G222" s="114" t="n">
        <x:v>0</x:v>
      </x:c>
      <x:c r="H222" s="70" t="str">
        <x:v>SEMITERMINADO</x:v>
      </x:c>
      <x:c r="I222" s="70" t="str">
        <x:v>SI</x:v>
      </x:c>
      <x:c r="J222" s="70" t="str">
        <x:v>AL_ENSAMBLAR</x:v>
      </x:c>
      <x:c r="K222" s="71" t="str">
        <x:v>Peso pendiente de validar; se consume por unidad.</x:v>
      </x:c>
    </x:row>
    <x:row r="223">
      <x:c r="A223" s="69" t="str">
        <x:v>CUC-LIM-270</x:v>
      </x:c>
      <x:c r="B223" s="70" t="str">
        <x:v>Cuchareable MOMOS Limón</x:v>
      </x:c>
      <x:c r="C223" s="70" t="str">
        <x:v>BASE-MOUSSE-LIMON</x:v>
      </x:c>
      <x:c r="D223" s="70" t="str">
        <x:v>Mousse Limón</x:v>
      </x:c>
      <x:c r="E223" s="114" t="n">
        <x:v>0.1</x:v>
      </x:c>
      <x:c r="F223" s="114" t="str">
        <x:v>kg</x:v>
      </x:c>
      <x:c r="G223" s="114" t="n">
        <x:v>0.1</x:v>
      </x:c>
      <x:c r="H223" s="70" t="str">
        <x:v>SUBRECETA</x:v>
      </x:c>
      <x:c r="I223" s="70" t="str">
        <x:v>SI</x:v>
      </x:c>
      <x:c r="J223" s="70" t="str">
        <x:v>AL_ENSAMBLAR</x:v>
      </x:c>
      <x:c r="K223" s="71" t="str"/>
    </x:row>
    <x:row r="224">
      <x:c r="A224" s="69" t="str">
        <x:v>CUC-LIM-270</x:v>
      </x:c>
      <x:c r="B224" s="70" t="str">
        <x:v>Cuchareable MOMOS Limón</x:v>
      </x:c>
      <x:c r="C224" s="70" t="str">
        <x:v>BASE-CHEESECAKE-NEUTRO</x:v>
      </x:c>
      <x:c r="D224" s="70" t="str">
        <x:v>Cheesecake neutro</x:v>
      </x:c>
      <x:c r="E224" s="114" t="n">
        <x:v>0.05</x:v>
      </x:c>
      <x:c r="F224" s="114" t="str">
        <x:v>kg</x:v>
      </x:c>
      <x:c r="G224" s="114" t="n">
        <x:v>0.05</x:v>
      </x:c>
      <x:c r="H224" s="70" t="str">
        <x:v>SUBRECETA</x:v>
      </x:c>
      <x:c r="I224" s="70" t="str">
        <x:v>SI</x:v>
      </x:c>
      <x:c r="J224" s="70" t="str">
        <x:v>AL_ENSAMBLAR</x:v>
      </x:c>
      <x:c r="K224" s="71" t="str"/>
    </x:row>
    <x:row r="225">
      <x:c r="A225" s="69" t="str">
        <x:v>CUC-LIM-270</x:v>
      </x:c>
      <x:c r="B225" s="70" t="str">
        <x:v>Cuchareable MOMOS Limón</x:v>
      </x:c>
      <x:c r="C225" s="70" t="str">
        <x:v>BASE-CROCANTE-NEUTRO</x:v>
      </x:c>
      <x:c r="D225" s="70" t="str">
        <x:v>Crocante/galleta</x:v>
      </x:c>
      <x:c r="E225" s="114" t="n">
        <x:v>0.055</x:v>
      </x:c>
      <x:c r="F225" s="114" t="str">
        <x:v>kg</x:v>
      </x:c>
      <x:c r="G225" s="114" t="n">
        <x:v>0.055</x:v>
      </x:c>
      <x:c r="H225" s="70" t="str">
        <x:v>SUBRECETA</x:v>
      </x:c>
      <x:c r="I225" s="70" t="str">
        <x:v>SI</x:v>
      </x:c>
      <x:c r="J225" s="70" t="str">
        <x:v>AL_ENSAMBLAR</x:v>
      </x:c>
      <x:c r="K225" s="71" t="str"/>
    </x:row>
    <x:row r="226">
      <x:c r="A226" s="69" t="str">
        <x:v>CUC-LIM-270</x:v>
      </x:c>
      <x:c r="B226" s="70" t="str">
        <x:v>Cuchareable MOMOS Limón</x:v>
      </x:c>
      <x:c r="C226" s="70" t="str">
        <x:v>BASE-SALSA-LIMON</x:v>
      </x:c>
      <x:c r="D226" s="70" t="str">
        <x:v>Salsa Limón</x:v>
      </x:c>
      <x:c r="E226" s="114" t="n">
        <x:v>0.035</x:v>
      </x:c>
      <x:c r="F226" s="114" t="str">
        <x:v>kg</x:v>
      </x:c>
      <x:c r="G226" s="114" t="n">
        <x:v>0.035</x:v>
      </x:c>
      <x:c r="H226" s="70" t="str">
        <x:v>SUBRECETA</x:v>
      </x:c>
      <x:c r="I226" s="70" t="str">
        <x:v>SI</x:v>
      </x:c>
      <x:c r="J226" s="70" t="str">
        <x:v>AL_ENSAMBLAR</x:v>
      </x:c>
      <x:c r="K226" s="71" t="str"/>
    </x:row>
    <x:row r="227">
      <x:c r="A227" s="69" t="str">
        <x:v>CUC-LIM-270</x:v>
      </x:c>
      <x:c r="B227" s="70" t="str">
        <x:v>Cuchareable MOMOS Limón</x:v>
      </x:c>
      <x:c r="C227" s="70" t="str">
        <x:v>TOP-RALLADURA-LIMON</x:v>
      </x:c>
      <x:c r="D227" s="70" t="str">
        <x:v>Topping Limón</x:v>
      </x:c>
      <x:c r="E227" s="114" t="n">
        <x:v>0.03</x:v>
      </x:c>
      <x:c r="F227" s="114" t="str">
        <x:v>kg</x:v>
      </x:c>
      <x:c r="G227" s="114" t="n">
        <x:v>0.03</x:v>
      </x:c>
      <x:c r="H227" s="70" t="str">
        <x:v>INSUMO_O_SUBRECETA</x:v>
      </x:c>
      <x:c r="I227" s="70" t="str">
        <x:v>SI</x:v>
      </x:c>
      <x:c r="J227" s="70" t="str">
        <x:v>AL_ENSAMBLAR</x:v>
      </x:c>
      <x:c r="K227" s="71" t="str"/>
    </x:row>
    <x:row r="228">
      <x:c r="A228" s="69" t="str">
        <x:v>CUC-LIM-270</x:v>
      </x:c>
      <x:c r="B228" s="70" t="str">
        <x:v>Cuchareable MOMOS Limón</x:v>
      </x:c>
      <x:c r="C228" s="70" t="str">
        <x:v>FIG-HOR-LIM</x:v>
      </x:c>
      <x:c r="D228" s="70" t="str">
        <x:v>Figurita horizontal Limón</x:v>
      </x:c>
      <x:c r="E228" s="114" t="n">
        <x:v>1</x:v>
      </x:c>
      <x:c r="F228" s="114" t="str">
        <x:v>und</x:v>
      </x:c>
      <x:c r="G228" s="114" t="n">
        <x:v>0</x:v>
      </x:c>
      <x:c r="H228" s="70" t="str">
        <x:v>SEMITERMINADO</x:v>
      </x:c>
      <x:c r="I228" s="70" t="str">
        <x:v>SI</x:v>
      </x:c>
      <x:c r="J228" s="70" t="str">
        <x:v>AL_ENSAMBLAR</x:v>
      </x:c>
      <x:c r="K228" s="71" t="str">
        <x:v>Peso pendiente de validar; se consume por unidad.</x:v>
      </x:c>
    </x:row>
    <x:row r="229">
      <x:c r="A229" s="69" t="str">
        <x:v>CUC-BAN-270</x:v>
      </x:c>
      <x:c r="B229" s="70" t="str">
        <x:v>Cuchareable MOMOS Banano</x:v>
      </x:c>
      <x:c r="C229" s="70" t="str">
        <x:v>BASE-MOUSSE-BANANO</x:v>
      </x:c>
      <x:c r="D229" s="70" t="str">
        <x:v>Mousse Banano</x:v>
      </x:c>
      <x:c r="E229" s="114" t="n">
        <x:v>0.1</x:v>
      </x:c>
      <x:c r="F229" s="114" t="str">
        <x:v>kg</x:v>
      </x:c>
      <x:c r="G229" s="114" t="n">
        <x:v>0.1</x:v>
      </x:c>
      <x:c r="H229" s="70" t="str">
        <x:v>SUBRECETA</x:v>
      </x:c>
      <x:c r="I229" s="70" t="str">
        <x:v>SI</x:v>
      </x:c>
      <x:c r="J229" s="70" t="str">
        <x:v>AL_ENSAMBLAR</x:v>
      </x:c>
      <x:c r="K229" s="71" t="str"/>
    </x:row>
    <x:row r="230">
      <x:c r="A230" s="69" t="str">
        <x:v>CUC-BAN-270</x:v>
      </x:c>
      <x:c r="B230" s="70" t="str">
        <x:v>Cuchareable MOMOS Banano</x:v>
      </x:c>
      <x:c r="C230" s="70" t="str">
        <x:v>BASE-CHEESECAKE-NEUTRO</x:v>
      </x:c>
      <x:c r="D230" s="70" t="str">
        <x:v>Cheesecake neutro</x:v>
      </x:c>
      <x:c r="E230" s="114" t="n">
        <x:v>0.05</x:v>
      </x:c>
      <x:c r="F230" s="114" t="str">
        <x:v>kg</x:v>
      </x:c>
      <x:c r="G230" s="114" t="n">
        <x:v>0.05</x:v>
      </x:c>
      <x:c r="H230" s="70" t="str">
        <x:v>SUBRECETA</x:v>
      </x:c>
      <x:c r="I230" s="70" t="str">
        <x:v>SI</x:v>
      </x:c>
      <x:c r="J230" s="70" t="str">
        <x:v>AL_ENSAMBLAR</x:v>
      </x:c>
      <x:c r="K230" s="71" t="str"/>
    </x:row>
    <x:row r="231">
      <x:c r="A231" s="69" t="str">
        <x:v>CUC-BAN-270</x:v>
      </x:c>
      <x:c r="B231" s="70" t="str">
        <x:v>Cuchareable MOMOS Banano</x:v>
      </x:c>
      <x:c r="C231" s="70" t="str">
        <x:v>BASE-CROCANTE-SALTIN</x:v>
      </x:c>
      <x:c r="D231" s="70" t="str">
        <x:v>Crocante/galleta</x:v>
      </x:c>
      <x:c r="E231" s="114" t="n">
        <x:v>0.055</x:v>
      </x:c>
      <x:c r="F231" s="114" t="str">
        <x:v>kg</x:v>
      </x:c>
      <x:c r="G231" s="114" t="n">
        <x:v>0.055</x:v>
      </x:c>
      <x:c r="H231" s="70" t="str">
        <x:v>SUBRECETA</x:v>
      </x:c>
      <x:c r="I231" s="70" t="str">
        <x:v>SI</x:v>
      </x:c>
      <x:c r="J231" s="70" t="str">
        <x:v>AL_ENSAMBLAR</x:v>
      </x:c>
      <x:c r="K231" s="71" t="str"/>
    </x:row>
    <x:row r="232">
      <x:c r="A232" s="69" t="str">
        <x:v>CUC-BAN-270</x:v>
      </x:c>
      <x:c r="B232" s="70" t="str">
        <x:v>Cuchareable MOMOS Banano</x:v>
      </x:c>
      <x:c r="C232" s="70" t="str">
        <x:v>BASE-SALSA-BANANO</x:v>
      </x:c>
      <x:c r="D232" s="70" t="str">
        <x:v>Salsa Banano</x:v>
      </x:c>
      <x:c r="E232" s="114" t="n">
        <x:v>0.035</x:v>
      </x:c>
      <x:c r="F232" s="114" t="str">
        <x:v>kg</x:v>
      </x:c>
      <x:c r="G232" s="114" t="n">
        <x:v>0.035</x:v>
      </x:c>
      <x:c r="H232" s="70" t="str">
        <x:v>SUBRECETA</x:v>
      </x:c>
      <x:c r="I232" s="70" t="str">
        <x:v>SI</x:v>
      </x:c>
      <x:c r="J232" s="70" t="str">
        <x:v>AL_ENSAMBLAR</x:v>
      </x:c>
      <x:c r="K232" s="71" t="str"/>
    </x:row>
    <x:row r="233">
      <x:c r="A233" s="69" t="str">
        <x:v>CUC-BAN-270</x:v>
      </x:c>
      <x:c r="B233" s="70" t="str">
        <x:v>Cuchareable MOMOS Banano</x:v>
      </x:c>
      <x:c r="C233" s="70" t="str">
        <x:v>TOP-BANANO</x:v>
      </x:c>
      <x:c r="D233" s="70" t="str">
        <x:v>Topping Banano</x:v>
      </x:c>
      <x:c r="E233" s="114" t="n">
        <x:v>0.03</x:v>
      </x:c>
      <x:c r="F233" s="114" t="str">
        <x:v>kg</x:v>
      </x:c>
      <x:c r="G233" s="114" t="n">
        <x:v>0.03</x:v>
      </x:c>
      <x:c r="H233" s="70" t="str">
        <x:v>INSUMO_O_SUBRECETA</x:v>
      </x:c>
      <x:c r="I233" s="70" t="str">
        <x:v>SI</x:v>
      </x:c>
      <x:c r="J233" s="70" t="str">
        <x:v>AL_ENSAMBLAR</x:v>
      </x:c>
      <x:c r="K233" s="71" t="str"/>
    </x:row>
    <x:row r="234">
      <x:c r="A234" s="69" t="str">
        <x:v>CUC-BAN-270</x:v>
      </x:c>
      <x:c r="B234" s="70" t="str">
        <x:v>Cuchareable MOMOS Banano</x:v>
      </x:c>
      <x:c r="C234" s="70" t="str">
        <x:v>FIG-HOR-BAN</x:v>
      </x:c>
      <x:c r="D234" s="70" t="str">
        <x:v>Figurita horizontal Banano</x:v>
      </x:c>
      <x:c r="E234" s="114" t="n">
        <x:v>1</x:v>
      </x:c>
      <x:c r="F234" s="114" t="str">
        <x:v>und</x:v>
      </x:c>
      <x:c r="G234" s="114" t="n">
        <x:v>0</x:v>
      </x:c>
      <x:c r="H234" s="70" t="str">
        <x:v>SEMITERMINADO</x:v>
      </x:c>
      <x:c r="I234" s="70" t="str">
        <x:v>SI</x:v>
      </x:c>
      <x:c r="J234" s="70" t="str">
        <x:v>AL_ENSAMBLAR</x:v>
      </x:c>
      <x:c r="K234" s="71" t="str">
        <x:v>Peso pendiente de validar; se consume por unidad.</x:v>
      </x:c>
    </x:row>
    <x:row r="235">
      <x:c r="A235" s="69" t="str">
        <x:v>CUC-DUR-270</x:v>
      </x:c>
      <x:c r="B235" s="70" t="str">
        <x:v>Cuchareable MOMOS Durazno</x:v>
      </x:c>
      <x:c r="C235" s="70" t="str">
        <x:v>BASE-MOUSSE-DURAZNO</x:v>
      </x:c>
      <x:c r="D235" s="70" t="str">
        <x:v>Mousse Durazno</x:v>
      </x:c>
      <x:c r="E235" s="114" t="n">
        <x:v>0.1</x:v>
      </x:c>
      <x:c r="F235" s="114" t="str">
        <x:v>kg</x:v>
      </x:c>
      <x:c r="G235" s="114" t="n">
        <x:v>0.1</x:v>
      </x:c>
      <x:c r="H235" s="70" t="str">
        <x:v>SUBRECETA</x:v>
      </x:c>
      <x:c r="I235" s="70" t="str">
        <x:v>SI</x:v>
      </x:c>
      <x:c r="J235" s="70" t="str">
        <x:v>AL_ENSAMBLAR</x:v>
      </x:c>
      <x:c r="K235" s="71" t="str"/>
    </x:row>
    <x:row r="236">
      <x:c r="A236" s="69" t="str">
        <x:v>CUC-DUR-270</x:v>
      </x:c>
      <x:c r="B236" s="70" t="str">
        <x:v>Cuchareable MOMOS Durazno</x:v>
      </x:c>
      <x:c r="C236" s="70" t="str">
        <x:v>BASE-CHEESECAKE-NEUTRO</x:v>
      </x:c>
      <x:c r="D236" s="70" t="str">
        <x:v>Cheesecake neutro</x:v>
      </x:c>
      <x:c r="E236" s="114" t="n">
        <x:v>0.05</x:v>
      </x:c>
      <x:c r="F236" s="114" t="str">
        <x:v>kg</x:v>
      </x:c>
      <x:c r="G236" s="114" t="n">
        <x:v>0.05</x:v>
      </x:c>
      <x:c r="H236" s="70" t="str">
        <x:v>SUBRECETA</x:v>
      </x:c>
      <x:c r="I236" s="70" t="str">
        <x:v>SI</x:v>
      </x:c>
      <x:c r="J236" s="70" t="str">
        <x:v>AL_ENSAMBLAR</x:v>
      </x:c>
      <x:c r="K236" s="71" t="str"/>
    </x:row>
    <x:row r="237">
      <x:c r="A237" s="69" t="str">
        <x:v>CUC-DUR-270</x:v>
      </x:c>
      <x:c r="B237" s="70" t="str">
        <x:v>Cuchareable MOMOS Durazno</x:v>
      </x:c>
      <x:c r="C237" s="70" t="str">
        <x:v>BASE-CROCANTE-NEUTRO</x:v>
      </x:c>
      <x:c r="D237" s="70" t="str">
        <x:v>Crocante/galleta</x:v>
      </x:c>
      <x:c r="E237" s="114" t="n">
        <x:v>0.055</x:v>
      </x:c>
      <x:c r="F237" s="114" t="str">
        <x:v>kg</x:v>
      </x:c>
      <x:c r="G237" s="114" t="n">
        <x:v>0.055</x:v>
      </x:c>
      <x:c r="H237" s="70" t="str">
        <x:v>SUBRECETA</x:v>
      </x:c>
      <x:c r="I237" s="70" t="str">
        <x:v>SI</x:v>
      </x:c>
      <x:c r="J237" s="70" t="str">
        <x:v>AL_ENSAMBLAR</x:v>
      </x:c>
      <x:c r="K237" s="71" t="str"/>
    </x:row>
    <x:row r="238">
      <x:c r="A238" s="69" t="str">
        <x:v>CUC-DUR-270</x:v>
      </x:c>
      <x:c r="B238" s="70" t="str">
        <x:v>Cuchareable MOMOS Durazno</x:v>
      </x:c>
      <x:c r="C238" s="70" t="str">
        <x:v>BASE-SALSA-DURAZNO</x:v>
      </x:c>
      <x:c r="D238" s="70" t="str">
        <x:v>Salsa Durazno</x:v>
      </x:c>
      <x:c r="E238" s="114" t="n">
        <x:v>0.035</x:v>
      </x:c>
      <x:c r="F238" s="114" t="str">
        <x:v>kg</x:v>
      </x:c>
      <x:c r="G238" s="114" t="n">
        <x:v>0.035</x:v>
      </x:c>
      <x:c r="H238" s="70" t="str">
        <x:v>SUBRECETA</x:v>
      </x:c>
      <x:c r="I238" s="70" t="str">
        <x:v>SI</x:v>
      </x:c>
      <x:c r="J238" s="70" t="str">
        <x:v>AL_ENSAMBLAR</x:v>
      </x:c>
      <x:c r="K238" s="71" t="str"/>
    </x:row>
    <x:row r="239">
      <x:c r="A239" s="69" t="str">
        <x:v>CUC-DUR-270</x:v>
      </x:c>
      <x:c r="B239" s="70" t="str">
        <x:v>Cuchareable MOMOS Durazno</x:v>
      </x:c>
      <x:c r="C239" s="70" t="str">
        <x:v>TOP-DURAZNO</x:v>
      </x:c>
      <x:c r="D239" s="70" t="str">
        <x:v>Topping Durazno</x:v>
      </x:c>
      <x:c r="E239" s="114" t="n">
        <x:v>0.03</x:v>
      </x:c>
      <x:c r="F239" s="114" t="str">
        <x:v>kg</x:v>
      </x:c>
      <x:c r="G239" s="114" t="n">
        <x:v>0.03</x:v>
      </x:c>
      <x:c r="H239" s="70" t="str">
        <x:v>INSUMO_O_SUBRECETA</x:v>
      </x:c>
      <x:c r="I239" s="70" t="str">
        <x:v>SI</x:v>
      </x:c>
      <x:c r="J239" s="70" t="str">
        <x:v>AL_ENSAMBLAR</x:v>
      </x:c>
      <x:c r="K239" s="71" t="str"/>
    </x:row>
    <x:row r="240">
      <x:c r="A240" s="69" t="str">
        <x:v>CUC-DUR-270</x:v>
      </x:c>
      <x:c r="B240" s="70" t="str">
        <x:v>Cuchareable MOMOS Durazno</x:v>
      </x:c>
      <x:c r="C240" s="70" t="str">
        <x:v>FIG-HOR-DUR</x:v>
      </x:c>
      <x:c r="D240" s="70" t="str">
        <x:v>Figurita horizontal Durazno</x:v>
      </x:c>
      <x:c r="E240" s="114" t="n">
        <x:v>1</x:v>
      </x:c>
      <x:c r="F240" s="114" t="str">
        <x:v>und</x:v>
      </x:c>
      <x:c r="G240" s="114" t="n">
        <x:v>0</x:v>
      </x:c>
      <x:c r="H240" s="70" t="str">
        <x:v>SEMITERMINADO</x:v>
      </x:c>
      <x:c r="I240" s="70" t="str">
        <x:v>SI</x:v>
      </x:c>
      <x:c r="J240" s="70" t="str">
        <x:v>AL_ENSAMBLAR</x:v>
      </x:c>
      <x:c r="K240" s="71" t="str">
        <x:v>Peso pendiente de validar; se consume por unidad.</x:v>
      </x:c>
    </x:row>
    <x:row r="241">
      <x:c r="A241" s="69" t="str">
        <x:v>CUC-MNM-270</x:v>
      </x:c>
      <x:c r="B241" s="70" t="str">
        <x:v>Cuchareable MOMOS M&amp;M</x:v>
      </x:c>
      <x:c r="C241" s="70" t="str">
        <x:v>BASE-MOUSSE-MNM</x:v>
      </x:c>
      <x:c r="D241" s="70" t="str">
        <x:v>Mousse M&amp;M</x:v>
      </x:c>
      <x:c r="E241" s="114" t="n">
        <x:v>0.1</x:v>
      </x:c>
      <x:c r="F241" s="114" t="str">
        <x:v>kg</x:v>
      </x:c>
      <x:c r="G241" s="114" t="n">
        <x:v>0.1</x:v>
      </x:c>
      <x:c r="H241" s="70" t="str">
        <x:v>SUBRECETA</x:v>
      </x:c>
      <x:c r="I241" s="70" t="str">
        <x:v>SI</x:v>
      </x:c>
      <x:c r="J241" s="70" t="str">
        <x:v>AL_ENSAMBLAR</x:v>
      </x:c>
      <x:c r="K241" s="71" t="str"/>
    </x:row>
    <x:row r="242">
      <x:c r="A242" s="69" t="str">
        <x:v>CUC-MNM-270</x:v>
      </x:c>
      <x:c r="B242" s="70" t="str">
        <x:v>Cuchareable MOMOS M&amp;M</x:v>
      </x:c>
      <x:c r="C242" s="70" t="str">
        <x:v>BASE-CHEESECAKE-NEUTRO</x:v>
      </x:c>
      <x:c r="D242" s="70" t="str">
        <x:v>Cheesecake neutro</x:v>
      </x:c>
      <x:c r="E242" s="114" t="n">
        <x:v>0.05</x:v>
      </x:c>
      <x:c r="F242" s="114" t="str">
        <x:v>kg</x:v>
      </x:c>
      <x:c r="G242" s="114" t="n">
        <x:v>0.05</x:v>
      </x:c>
      <x:c r="H242" s="70" t="str">
        <x:v>SUBRECETA</x:v>
      </x:c>
      <x:c r="I242" s="70" t="str">
        <x:v>SI</x:v>
      </x:c>
      <x:c r="J242" s="70" t="str">
        <x:v>AL_ENSAMBLAR</x:v>
      </x:c>
      <x:c r="K242" s="71" t="str"/>
    </x:row>
    <x:row r="243">
      <x:c r="A243" s="69" t="str">
        <x:v>CUC-MNM-270</x:v>
      </x:c>
      <x:c r="B243" s="70" t="str">
        <x:v>Cuchareable MOMOS M&amp;M</x:v>
      </x:c>
      <x:c r="C243" s="70" t="str">
        <x:v>BASE-CROCANTE-CHOCOLATE</x:v>
      </x:c>
      <x:c r="D243" s="70" t="str">
        <x:v>Crocante/galleta</x:v>
      </x:c>
      <x:c r="E243" s="114" t="n">
        <x:v>0.055</x:v>
      </x:c>
      <x:c r="F243" s="114" t="str">
        <x:v>kg</x:v>
      </x:c>
      <x:c r="G243" s="114" t="n">
        <x:v>0.055</x:v>
      </x:c>
      <x:c r="H243" s="70" t="str">
        <x:v>SUBRECETA</x:v>
      </x:c>
      <x:c r="I243" s="70" t="str">
        <x:v>SI</x:v>
      </x:c>
      <x:c r="J243" s="70" t="str">
        <x:v>AL_ENSAMBLAR</x:v>
      </x:c>
      <x:c r="K243" s="71" t="str"/>
    </x:row>
    <x:row r="244">
      <x:c r="A244" s="69" t="str">
        <x:v>CUC-MNM-270</x:v>
      </x:c>
      <x:c r="B244" s="70" t="str">
        <x:v>Cuchareable MOMOS M&amp;M</x:v>
      </x:c>
      <x:c r="C244" s="70" t="str">
        <x:v>BASE-SALSA-CHOCOLATE</x:v>
      </x:c>
      <x:c r="D244" s="70" t="str">
        <x:v>Salsa M&amp;M</x:v>
      </x:c>
      <x:c r="E244" s="114" t="n">
        <x:v>0.035</x:v>
      </x:c>
      <x:c r="F244" s="114" t="str">
        <x:v>kg</x:v>
      </x:c>
      <x:c r="G244" s="114" t="n">
        <x:v>0.035</x:v>
      </x:c>
      <x:c r="H244" s="70" t="str">
        <x:v>SUBRECETA</x:v>
      </x:c>
      <x:c r="I244" s="70" t="str">
        <x:v>SI</x:v>
      </x:c>
      <x:c r="J244" s="70" t="str">
        <x:v>AL_ENSAMBLAR</x:v>
      </x:c>
      <x:c r="K244" s="71" t="str"/>
    </x:row>
    <x:row r="245">
      <x:c r="A245" s="69" t="str">
        <x:v>CUC-MNM-270</x:v>
      </x:c>
      <x:c r="B245" s="70" t="str">
        <x:v>Cuchareable MOMOS M&amp;M</x:v>
      </x:c>
      <x:c r="C245" s="70" t="str">
        <x:v>TOP-MNM</x:v>
      </x:c>
      <x:c r="D245" s="70" t="str">
        <x:v>Topping M&amp;M</x:v>
      </x:c>
      <x:c r="E245" s="114" t="n">
        <x:v>0.03</x:v>
      </x:c>
      <x:c r="F245" s="114" t="str">
        <x:v>kg</x:v>
      </x:c>
      <x:c r="G245" s="114" t="n">
        <x:v>0.03</x:v>
      </x:c>
      <x:c r="H245" s="70" t="str">
        <x:v>INSUMO_O_SUBRECETA</x:v>
      </x:c>
      <x:c r="I245" s="70" t="str">
        <x:v>SI</x:v>
      </x:c>
      <x:c r="J245" s="70" t="str">
        <x:v>AL_ENSAMBLAR</x:v>
      </x:c>
      <x:c r="K245" s="71" t="str"/>
    </x:row>
    <x:row r="246">
      <x:c r="A246" s="69" t="str">
        <x:v>CUC-MNM-270</x:v>
      </x:c>
      <x:c r="B246" s="70" t="str">
        <x:v>Cuchareable MOMOS M&amp;M</x:v>
      </x:c>
      <x:c r="C246" s="70" t="str">
        <x:v>FIG-HOR-MNM</x:v>
      </x:c>
      <x:c r="D246" s="70" t="str">
        <x:v>Figurita horizontal M&amp;M</x:v>
      </x:c>
      <x:c r="E246" s="114" t="n">
        <x:v>1</x:v>
      </x:c>
      <x:c r="F246" s="114" t="str">
        <x:v>und</x:v>
      </x:c>
      <x:c r="G246" s="114" t="n">
        <x:v>0</x:v>
      </x:c>
      <x:c r="H246" s="70" t="str">
        <x:v>SEMITERMINADO</x:v>
      </x:c>
      <x:c r="I246" s="70" t="str">
        <x:v>SI</x:v>
      </x:c>
      <x:c r="J246" s="70" t="str">
        <x:v>AL_ENSAMBLAR</x:v>
      </x:c>
      <x:c r="K246" s="71" t="str">
        <x:v>Peso pendiente de validar; se consume por unidad.</x:v>
      </x:c>
    </x:row>
    <x:row r="247">
      <x:c r="A247" s="69" t="str">
        <x:v>CUC-ORE-270</x:v>
      </x:c>
      <x:c r="B247" s="70" t="str">
        <x:v>Cuchareable MOMOS Oreo</x:v>
      </x:c>
      <x:c r="C247" s="70" t="str">
        <x:v>BASE-MOUSSE-OREO</x:v>
      </x:c>
      <x:c r="D247" s="70" t="str">
        <x:v>Mousse Oreo</x:v>
      </x:c>
      <x:c r="E247" s="114" t="n">
        <x:v>0.1</x:v>
      </x:c>
      <x:c r="F247" s="114" t="str">
        <x:v>kg</x:v>
      </x:c>
      <x:c r="G247" s="114" t="n">
        <x:v>0.1</x:v>
      </x:c>
      <x:c r="H247" s="70" t="str">
        <x:v>SUBRECETA</x:v>
      </x:c>
      <x:c r="I247" s="70" t="str">
        <x:v>SI</x:v>
      </x:c>
      <x:c r="J247" s="70" t="str">
        <x:v>AL_ENSAMBLAR</x:v>
      </x:c>
      <x:c r="K247" s="71" t="str"/>
    </x:row>
    <x:row r="248">
      <x:c r="A248" s="69" t="str">
        <x:v>CUC-ORE-270</x:v>
      </x:c>
      <x:c r="B248" s="70" t="str">
        <x:v>Cuchareable MOMOS Oreo</x:v>
      </x:c>
      <x:c r="C248" s="70" t="str">
        <x:v>BASE-CHEESECAKE-NEUTRO</x:v>
      </x:c>
      <x:c r="D248" s="70" t="str">
        <x:v>Cheesecake neutro</x:v>
      </x:c>
      <x:c r="E248" s="114" t="n">
        <x:v>0.05</x:v>
      </x:c>
      <x:c r="F248" s="114" t="str">
        <x:v>kg</x:v>
      </x:c>
      <x:c r="G248" s="114" t="n">
        <x:v>0.05</x:v>
      </x:c>
      <x:c r="H248" s="70" t="str">
        <x:v>SUBRECETA</x:v>
      </x:c>
      <x:c r="I248" s="70" t="str">
        <x:v>SI</x:v>
      </x:c>
      <x:c r="J248" s="70" t="str">
        <x:v>AL_ENSAMBLAR</x:v>
      </x:c>
      <x:c r="K248" s="71" t="str"/>
    </x:row>
    <x:row r="249">
      <x:c r="A249" s="69" t="str">
        <x:v>CUC-ORE-270</x:v>
      </x:c>
      <x:c r="B249" s="70" t="str">
        <x:v>Cuchareable MOMOS Oreo</x:v>
      </x:c>
      <x:c r="C249" s="70" t="str">
        <x:v>BASE-CROCANTE-OREO</x:v>
      </x:c>
      <x:c r="D249" s="70" t="str">
        <x:v>Crocante/galleta</x:v>
      </x:c>
      <x:c r="E249" s="114" t="n">
        <x:v>0.055</x:v>
      </x:c>
      <x:c r="F249" s="114" t="str">
        <x:v>kg</x:v>
      </x:c>
      <x:c r="G249" s="114" t="n">
        <x:v>0.055</x:v>
      </x:c>
      <x:c r="H249" s="70" t="str">
        <x:v>SUBRECETA</x:v>
      </x:c>
      <x:c r="I249" s="70" t="str">
        <x:v>SI</x:v>
      </x:c>
      <x:c r="J249" s="70" t="str">
        <x:v>AL_ENSAMBLAR</x:v>
      </x:c>
      <x:c r="K249" s="71" t="str"/>
    </x:row>
    <x:row r="250">
      <x:c r="A250" s="69" t="str">
        <x:v>CUC-ORE-270</x:v>
      </x:c>
      <x:c r="B250" s="70" t="str">
        <x:v>Cuchareable MOMOS Oreo</x:v>
      </x:c>
      <x:c r="C250" s="70" t="str">
        <x:v>BASE-SALSA-CHOCOLATE</x:v>
      </x:c>
      <x:c r="D250" s="70" t="str">
        <x:v>Salsa Oreo</x:v>
      </x:c>
      <x:c r="E250" s="114" t="n">
        <x:v>0.035</x:v>
      </x:c>
      <x:c r="F250" s="114" t="str">
        <x:v>kg</x:v>
      </x:c>
      <x:c r="G250" s="114" t="n">
        <x:v>0.035</x:v>
      </x:c>
      <x:c r="H250" s="70" t="str">
        <x:v>SUBRECETA</x:v>
      </x:c>
      <x:c r="I250" s="70" t="str">
        <x:v>SI</x:v>
      </x:c>
      <x:c r="J250" s="70" t="str">
        <x:v>AL_ENSAMBLAR</x:v>
      </x:c>
      <x:c r="K250" s="71" t="str"/>
    </x:row>
    <x:row r="251">
      <x:c r="A251" s="69" t="str">
        <x:v>CUC-ORE-270</x:v>
      </x:c>
      <x:c r="B251" s="70" t="str">
        <x:v>Cuchareable MOMOS Oreo</x:v>
      </x:c>
      <x:c r="C251" s="70" t="str">
        <x:v>TOP-OREO-TRITURADA</x:v>
      </x:c>
      <x:c r="D251" s="70" t="str">
        <x:v>Topping Oreo</x:v>
      </x:c>
      <x:c r="E251" s="114" t="n">
        <x:v>0.03</x:v>
      </x:c>
      <x:c r="F251" s="114" t="str">
        <x:v>kg</x:v>
      </x:c>
      <x:c r="G251" s="114" t="n">
        <x:v>0.03</x:v>
      </x:c>
      <x:c r="H251" s="70" t="str">
        <x:v>INSUMO_O_SUBRECETA</x:v>
      </x:c>
      <x:c r="I251" s="70" t="str">
        <x:v>SI</x:v>
      </x:c>
      <x:c r="J251" s="70" t="str">
        <x:v>AL_ENSAMBLAR</x:v>
      </x:c>
      <x:c r="K251" s="71" t="str"/>
    </x:row>
    <x:row r="252">
      <x:c r="A252" s="69" t="str">
        <x:v>CUC-ORE-270</x:v>
      </x:c>
      <x:c r="B252" s="70" t="str">
        <x:v>Cuchareable MOMOS Oreo</x:v>
      </x:c>
      <x:c r="C252" s="70" t="str">
        <x:v>FIG-HOR-ORE</x:v>
      </x:c>
      <x:c r="D252" s="70" t="str">
        <x:v>Figurita horizontal Oreo</x:v>
      </x:c>
      <x:c r="E252" s="114" t="n">
        <x:v>1</x:v>
      </x:c>
      <x:c r="F252" s="114" t="str">
        <x:v>und</x:v>
      </x:c>
      <x:c r="G252" s="114" t="n">
        <x:v>0</x:v>
      </x:c>
      <x:c r="H252" s="70" t="str">
        <x:v>SEMITERMINADO</x:v>
      </x:c>
      <x:c r="I252" s="70" t="str">
        <x:v>SI</x:v>
      </x:c>
      <x:c r="J252" s="70" t="str">
        <x:v>AL_ENSAMBLAR</x:v>
      </x:c>
      <x:c r="K252" s="71" t="str">
        <x:v>Peso pendiente de validar; se consume por unidad.</x:v>
      </x:c>
    </x:row>
    <x:row r="253">
      <x:c r="A253" s="69" t="str">
        <x:v>CUC-CSL-270</x:v>
      </x:c>
      <x:c r="B253" s="70" t="str">
        <x:v>Cuchareable MOMOS Caramelo salado</x:v>
      </x:c>
      <x:c r="C253" s="70" t="str">
        <x:v>BASE-MOUSSE-CARAMELO-SALADO</x:v>
      </x:c>
      <x:c r="D253" s="70" t="str">
        <x:v>Mousse Caramelo salado</x:v>
      </x:c>
      <x:c r="E253" s="114" t="n">
        <x:v>0.1</x:v>
      </x:c>
      <x:c r="F253" s="114" t="str">
        <x:v>kg</x:v>
      </x:c>
      <x:c r="G253" s="114" t="n">
        <x:v>0.1</x:v>
      </x:c>
      <x:c r="H253" s="70" t="str">
        <x:v>SUBRECETA</x:v>
      </x:c>
      <x:c r="I253" s="70" t="str">
        <x:v>SI</x:v>
      </x:c>
      <x:c r="J253" s="70" t="str">
        <x:v>AL_ENSAMBLAR</x:v>
      </x:c>
      <x:c r="K253" s="71" t="str"/>
    </x:row>
    <x:row r="254">
      <x:c r="A254" s="69" t="str">
        <x:v>CUC-CSL-270</x:v>
      </x:c>
      <x:c r="B254" s="70" t="str">
        <x:v>Cuchareable MOMOS Caramelo salado</x:v>
      </x:c>
      <x:c r="C254" s="70" t="str">
        <x:v>BASE-CHEESECAKE-NEUTRO</x:v>
      </x:c>
      <x:c r="D254" s="70" t="str">
        <x:v>Cheesecake neutro</x:v>
      </x:c>
      <x:c r="E254" s="114" t="n">
        <x:v>0.05</x:v>
      </x:c>
      <x:c r="F254" s="114" t="str">
        <x:v>kg</x:v>
      </x:c>
      <x:c r="G254" s="114" t="n">
        <x:v>0.05</x:v>
      </x:c>
      <x:c r="H254" s="70" t="str">
        <x:v>SUBRECETA</x:v>
      </x:c>
      <x:c r="I254" s="70" t="str">
        <x:v>SI</x:v>
      </x:c>
      <x:c r="J254" s="70" t="str">
        <x:v>AL_ENSAMBLAR</x:v>
      </x:c>
      <x:c r="K254" s="71" t="str"/>
    </x:row>
    <x:row r="255">
      <x:c r="A255" s="69" t="str">
        <x:v>CUC-CSL-270</x:v>
      </x:c>
      <x:c r="B255" s="70" t="str">
        <x:v>Cuchareable MOMOS Caramelo salado</x:v>
      </x:c>
      <x:c r="C255" s="70" t="str">
        <x:v>BASE-CROCANTE-SALTIN</x:v>
      </x:c>
      <x:c r="D255" s="70" t="str">
        <x:v>Crocante/galleta</x:v>
      </x:c>
      <x:c r="E255" s="114" t="n">
        <x:v>0.055</x:v>
      </x:c>
      <x:c r="F255" s="114" t="str">
        <x:v>kg</x:v>
      </x:c>
      <x:c r="G255" s="114" t="n">
        <x:v>0.055</x:v>
      </x:c>
      <x:c r="H255" s="70" t="str">
        <x:v>SUBRECETA</x:v>
      </x:c>
      <x:c r="I255" s="70" t="str">
        <x:v>SI</x:v>
      </x:c>
      <x:c r="J255" s="70" t="str">
        <x:v>AL_ENSAMBLAR</x:v>
      </x:c>
      <x:c r="K255" s="71" t="str"/>
    </x:row>
    <x:row r="256">
      <x:c r="A256" s="69" t="str">
        <x:v>CUC-CSL-270</x:v>
      </x:c>
      <x:c r="B256" s="70" t="str">
        <x:v>Cuchareable MOMOS Caramelo salado</x:v>
      </x:c>
      <x:c r="C256" s="70" t="str">
        <x:v>BASE-CARAMELO-SALADO</x:v>
      </x:c>
      <x:c r="D256" s="70" t="str">
        <x:v>Salsa Caramelo salado</x:v>
      </x:c>
      <x:c r="E256" s="114" t="n">
        <x:v>0.035</x:v>
      </x:c>
      <x:c r="F256" s="114" t="str">
        <x:v>kg</x:v>
      </x:c>
      <x:c r="G256" s="114" t="n">
        <x:v>0.035</x:v>
      </x:c>
      <x:c r="H256" s="70" t="str">
        <x:v>SUBRECETA</x:v>
      </x:c>
      <x:c r="I256" s="70" t="str">
        <x:v>SI</x:v>
      </x:c>
      <x:c r="J256" s="70" t="str">
        <x:v>AL_ENSAMBLAR</x:v>
      </x:c>
      <x:c r="K256" s="71" t="str"/>
    </x:row>
    <x:row r="257">
      <x:c r="A257" s="69" t="str">
        <x:v>CUC-CSL-270</x:v>
      </x:c>
      <x:c r="B257" s="70" t="str">
        <x:v>Cuchareable MOMOS Caramelo salado</x:v>
      </x:c>
      <x:c r="C257" s="70" t="str">
        <x:v>TOP-CROCANTE-CARAMELO</x:v>
      </x:c>
      <x:c r="D257" s="70" t="str">
        <x:v>Topping Caramelo salado</x:v>
      </x:c>
      <x:c r="E257" s="114" t="n">
        <x:v>0.03</x:v>
      </x:c>
      <x:c r="F257" s="114" t="str">
        <x:v>kg</x:v>
      </x:c>
      <x:c r="G257" s="114" t="n">
        <x:v>0.03</x:v>
      </x:c>
      <x:c r="H257" s="70" t="str">
        <x:v>INSUMO_O_SUBRECETA</x:v>
      </x:c>
      <x:c r="I257" s="70" t="str">
        <x:v>SI</x:v>
      </x:c>
      <x:c r="J257" s="70" t="str">
        <x:v>AL_ENSAMBLAR</x:v>
      </x:c>
      <x:c r="K257" s="71" t="str"/>
    </x:row>
    <x:row r="258">
      <x:c r="A258" s="69" t="str">
        <x:v>CUC-CSL-270</x:v>
      </x:c>
      <x:c r="B258" s="70" t="str">
        <x:v>Cuchareable MOMOS Caramelo salado</x:v>
      </x:c>
      <x:c r="C258" s="70" t="str">
        <x:v>FIG-HOR-CSL</x:v>
      </x:c>
      <x:c r="D258" s="70" t="str">
        <x:v>Figurita horizontal Caramelo salado</x:v>
      </x:c>
      <x:c r="E258" s="114" t="n">
        <x:v>1</x:v>
      </x:c>
      <x:c r="F258" s="114" t="str">
        <x:v>und</x:v>
      </x:c>
      <x:c r="G258" s="114" t="n">
        <x:v>0</x:v>
      </x:c>
      <x:c r="H258" s="70" t="str">
        <x:v>SEMITERMINADO</x:v>
      </x:c>
      <x:c r="I258" s="70" t="str">
        <x:v>SI</x:v>
      </x:c>
      <x:c r="J258" s="70" t="str">
        <x:v>AL_ENSAMBLAR</x:v>
      </x:c>
      <x:c r="K258" s="71" t="str">
        <x:v>Peso pendiente de validar; se consume por unidad.</x:v>
      </x:c>
    </x:row>
    <x:row r="259">
      <x:c r="A259" s="69" t="str">
        <x:v>CUC-NUT-270</x:v>
      </x:c>
      <x:c r="B259" s="70" t="str">
        <x:v>Cuchareable MOMOS Nutella</x:v>
      </x:c>
      <x:c r="C259" s="70" t="str">
        <x:v>BASE-MOUSSE-NUTELLA</x:v>
      </x:c>
      <x:c r="D259" s="70" t="str">
        <x:v>Mousse Nutella</x:v>
      </x:c>
      <x:c r="E259" s="114" t="n">
        <x:v>0.1</x:v>
      </x:c>
      <x:c r="F259" s="114" t="str">
        <x:v>kg</x:v>
      </x:c>
      <x:c r="G259" s="114" t="n">
        <x:v>0.1</x:v>
      </x:c>
      <x:c r="H259" s="70" t="str">
        <x:v>SUBRECETA</x:v>
      </x:c>
      <x:c r="I259" s="70" t="str">
        <x:v>SI</x:v>
      </x:c>
      <x:c r="J259" s="70" t="str">
        <x:v>AL_ENSAMBLAR</x:v>
      </x:c>
      <x:c r="K259" s="71" t="str"/>
    </x:row>
    <x:row r="260">
      <x:c r="A260" s="69" t="str">
        <x:v>CUC-NUT-270</x:v>
      </x:c>
      <x:c r="B260" s="70" t="str">
        <x:v>Cuchareable MOMOS Nutella</x:v>
      </x:c>
      <x:c r="C260" s="70" t="str">
        <x:v>BASE-CHEESECAKE-NEUTRO</x:v>
      </x:c>
      <x:c r="D260" s="70" t="str">
        <x:v>Cheesecake neutro</x:v>
      </x:c>
      <x:c r="E260" s="114" t="n">
        <x:v>0.05</x:v>
      </x:c>
      <x:c r="F260" s="114" t="str">
        <x:v>kg</x:v>
      </x:c>
      <x:c r="G260" s="114" t="n">
        <x:v>0.05</x:v>
      </x:c>
      <x:c r="H260" s="70" t="str">
        <x:v>SUBRECETA</x:v>
      </x:c>
      <x:c r="I260" s="70" t="str">
        <x:v>SI</x:v>
      </x:c>
      <x:c r="J260" s="70" t="str">
        <x:v>AL_ENSAMBLAR</x:v>
      </x:c>
      <x:c r="K260" s="71" t="str"/>
    </x:row>
    <x:row r="261">
      <x:c r="A261" s="69" t="str">
        <x:v>CUC-NUT-270</x:v>
      </x:c>
      <x:c r="B261" s="70" t="str">
        <x:v>Cuchareable MOMOS Nutella</x:v>
      </x:c>
      <x:c r="C261" s="70" t="str">
        <x:v>BASE-CROCANTE-CHOCOLATE</x:v>
      </x:c>
      <x:c r="D261" s="70" t="str">
        <x:v>Crocante/galleta</x:v>
      </x:c>
      <x:c r="E261" s="114" t="n">
        <x:v>0.055</x:v>
      </x:c>
      <x:c r="F261" s="114" t="str">
        <x:v>kg</x:v>
      </x:c>
      <x:c r="G261" s="114" t="n">
        <x:v>0.055</x:v>
      </x:c>
      <x:c r="H261" s="70" t="str">
        <x:v>SUBRECETA</x:v>
      </x:c>
      <x:c r="I261" s="70" t="str">
        <x:v>SI</x:v>
      </x:c>
      <x:c r="J261" s="70" t="str">
        <x:v>AL_ENSAMBLAR</x:v>
      </x:c>
      <x:c r="K261" s="71" t="str"/>
    </x:row>
    <x:row r="262">
      <x:c r="A262" s="69" t="str">
        <x:v>CUC-NUT-270</x:v>
      </x:c>
      <x:c r="B262" s="70" t="str">
        <x:v>Cuchareable MOMOS Nutella</x:v>
      </x:c>
      <x:c r="C262" s="70" t="str">
        <x:v>BASE-SALSA-NUTELLA</x:v>
      </x:c>
      <x:c r="D262" s="70" t="str">
        <x:v>Salsa Nutella</x:v>
      </x:c>
      <x:c r="E262" s="114" t="n">
        <x:v>0.035</x:v>
      </x:c>
      <x:c r="F262" s="114" t="str">
        <x:v>kg</x:v>
      </x:c>
      <x:c r="G262" s="114" t="n">
        <x:v>0.035</x:v>
      </x:c>
      <x:c r="H262" s="70" t="str">
        <x:v>SUBRECETA</x:v>
      </x:c>
      <x:c r="I262" s="70" t="str">
        <x:v>SI</x:v>
      </x:c>
      <x:c r="J262" s="70" t="str">
        <x:v>AL_ENSAMBLAR</x:v>
      </x:c>
      <x:c r="K262" s="71" t="str"/>
    </x:row>
    <x:row r="263">
      <x:c r="A263" s="69" t="str">
        <x:v>CUC-NUT-270</x:v>
      </x:c>
      <x:c r="B263" s="70" t="str">
        <x:v>Cuchareable MOMOS Nutella</x:v>
      </x:c>
      <x:c r="C263" s="70" t="str">
        <x:v>TOP-AVELLANA</x:v>
      </x:c>
      <x:c r="D263" s="70" t="str">
        <x:v>Topping Nutella</x:v>
      </x:c>
      <x:c r="E263" s="114" t="n">
        <x:v>0.03</x:v>
      </x:c>
      <x:c r="F263" s="114" t="str">
        <x:v>kg</x:v>
      </x:c>
      <x:c r="G263" s="114" t="n">
        <x:v>0.03</x:v>
      </x:c>
      <x:c r="H263" s="70" t="str">
        <x:v>INSUMO_O_SUBRECETA</x:v>
      </x:c>
      <x:c r="I263" s="70" t="str">
        <x:v>SI</x:v>
      </x:c>
      <x:c r="J263" s="70" t="str">
        <x:v>AL_ENSAMBLAR</x:v>
      </x:c>
      <x:c r="K263" s="71" t="str"/>
    </x:row>
    <x:row r="264">
      <x:c r="A264" s="69" t="str">
        <x:v>CUC-NUT-270</x:v>
      </x:c>
      <x:c r="B264" s="70" t="str">
        <x:v>Cuchareable MOMOS Nutella</x:v>
      </x:c>
      <x:c r="C264" s="70" t="str">
        <x:v>FIG-HOR-NUT</x:v>
      </x:c>
      <x:c r="D264" s="70" t="str">
        <x:v>Figurita horizontal Nutella</x:v>
      </x:c>
      <x:c r="E264" s="114" t="n">
        <x:v>1</x:v>
      </x:c>
      <x:c r="F264" s="114" t="str">
        <x:v>und</x:v>
      </x:c>
      <x:c r="G264" s="114" t="n">
        <x:v>0</x:v>
      </x:c>
      <x:c r="H264" s="70" t="str">
        <x:v>SEMITERMINADO</x:v>
      </x:c>
      <x:c r="I264" s="70" t="str">
        <x:v>SI</x:v>
      </x:c>
      <x:c r="J264" s="70" t="str">
        <x:v>AL_ENSAMBLAR</x:v>
      </x:c>
      <x:c r="K264" s="71" t="str">
        <x:v>Peso pendiente de validar; se consume por unidad.</x:v>
      </x:c>
    </x:row>
    <x:row r="265">
      <x:c r="A265" s="69" t="str">
        <x:v>CUC-MIL-270</x:v>
      </x:c>
      <x:c r="B265" s="70" t="str">
        <x:v>Cuchareable MOMOS Milo</x:v>
      </x:c>
      <x:c r="C265" s="70" t="str">
        <x:v>BASE-MOUSSE-MILO</x:v>
      </x:c>
      <x:c r="D265" s="70" t="str">
        <x:v>Mousse Milo</x:v>
      </x:c>
      <x:c r="E265" s="114" t="n">
        <x:v>0.1</x:v>
      </x:c>
      <x:c r="F265" s="114" t="str">
        <x:v>kg</x:v>
      </x:c>
      <x:c r="G265" s="114" t="n">
        <x:v>0.1</x:v>
      </x:c>
      <x:c r="H265" s="70" t="str">
        <x:v>SUBRECETA</x:v>
      </x:c>
      <x:c r="I265" s="70" t="str">
        <x:v>SI</x:v>
      </x:c>
      <x:c r="J265" s="70" t="str">
        <x:v>AL_ENSAMBLAR</x:v>
      </x:c>
      <x:c r="K265" s="71" t="str"/>
    </x:row>
    <x:row r="266">
      <x:c r="A266" s="69" t="str">
        <x:v>CUC-MIL-270</x:v>
      </x:c>
      <x:c r="B266" s="70" t="str">
        <x:v>Cuchareable MOMOS Milo</x:v>
      </x:c>
      <x:c r="C266" s="70" t="str">
        <x:v>BASE-CHEESECAKE-NEUTRO</x:v>
      </x:c>
      <x:c r="D266" s="70" t="str">
        <x:v>Cheesecake neutro</x:v>
      </x:c>
      <x:c r="E266" s="114" t="n">
        <x:v>0.05</x:v>
      </x:c>
      <x:c r="F266" s="114" t="str">
        <x:v>kg</x:v>
      </x:c>
      <x:c r="G266" s="114" t="n">
        <x:v>0.05</x:v>
      </x:c>
      <x:c r="H266" s="70" t="str">
        <x:v>SUBRECETA</x:v>
      </x:c>
      <x:c r="I266" s="70" t="str">
        <x:v>SI</x:v>
      </x:c>
      <x:c r="J266" s="70" t="str">
        <x:v>AL_ENSAMBLAR</x:v>
      </x:c>
      <x:c r="K266" s="71" t="str"/>
    </x:row>
    <x:row r="267">
      <x:c r="A267" s="69" t="str">
        <x:v>CUC-MIL-270</x:v>
      </x:c>
      <x:c r="B267" s="70" t="str">
        <x:v>Cuchareable MOMOS Milo</x:v>
      </x:c>
      <x:c r="C267" s="70" t="str">
        <x:v>BASE-CROCANTE-CHOCOLATE</x:v>
      </x:c>
      <x:c r="D267" s="70" t="str">
        <x:v>Crocante/galleta</x:v>
      </x:c>
      <x:c r="E267" s="114" t="n">
        <x:v>0.055</x:v>
      </x:c>
      <x:c r="F267" s="114" t="str">
        <x:v>kg</x:v>
      </x:c>
      <x:c r="G267" s="114" t="n">
        <x:v>0.055</x:v>
      </x:c>
      <x:c r="H267" s="70" t="str">
        <x:v>SUBRECETA</x:v>
      </x:c>
      <x:c r="I267" s="70" t="str">
        <x:v>SI</x:v>
      </x:c>
      <x:c r="J267" s="70" t="str">
        <x:v>AL_ENSAMBLAR</x:v>
      </x:c>
      <x:c r="K267" s="71" t="str"/>
    </x:row>
    <x:row r="268">
      <x:c r="A268" s="69" t="str">
        <x:v>CUC-MIL-270</x:v>
      </x:c>
      <x:c r="B268" s="70" t="str">
        <x:v>Cuchareable MOMOS Milo</x:v>
      </x:c>
      <x:c r="C268" s="70" t="str">
        <x:v>BASE-SALSA-CHOCOLATE</x:v>
      </x:c>
      <x:c r="D268" s="70" t="str">
        <x:v>Salsa Milo</x:v>
      </x:c>
      <x:c r="E268" s="114" t="n">
        <x:v>0.035</x:v>
      </x:c>
      <x:c r="F268" s="114" t="str">
        <x:v>kg</x:v>
      </x:c>
      <x:c r="G268" s="114" t="n">
        <x:v>0.035</x:v>
      </x:c>
      <x:c r="H268" s="70" t="str">
        <x:v>SUBRECETA</x:v>
      </x:c>
      <x:c r="I268" s="70" t="str">
        <x:v>SI</x:v>
      </x:c>
      <x:c r="J268" s="70" t="str">
        <x:v>AL_ENSAMBLAR</x:v>
      </x:c>
      <x:c r="K268" s="71" t="str"/>
    </x:row>
    <x:row r="269">
      <x:c r="A269" s="69" t="str">
        <x:v>CUC-MIL-270</x:v>
      </x:c>
      <x:c r="B269" s="70" t="str">
        <x:v>Cuchareable MOMOS Milo</x:v>
      </x:c>
      <x:c r="C269" s="70" t="str">
        <x:v>TOP-MILO</x:v>
      </x:c>
      <x:c r="D269" s="70" t="str">
        <x:v>Topping Milo</x:v>
      </x:c>
      <x:c r="E269" s="114" t="n">
        <x:v>0.03</x:v>
      </x:c>
      <x:c r="F269" s="114" t="str">
        <x:v>kg</x:v>
      </x:c>
      <x:c r="G269" s="114" t="n">
        <x:v>0.03</x:v>
      </x:c>
      <x:c r="H269" s="70" t="str">
        <x:v>INSUMO_O_SUBRECETA</x:v>
      </x:c>
      <x:c r="I269" s="70" t="str">
        <x:v>SI</x:v>
      </x:c>
      <x:c r="J269" s="70" t="str">
        <x:v>AL_ENSAMBLAR</x:v>
      </x:c>
      <x:c r="K269" s="71" t="str"/>
    </x:row>
    <x:row r="270">
      <x:c r="A270" s="69" t="str">
        <x:v>CUC-MIL-270</x:v>
      </x:c>
      <x:c r="B270" s="70" t="str">
        <x:v>Cuchareable MOMOS Milo</x:v>
      </x:c>
      <x:c r="C270" s="70" t="str">
        <x:v>FIG-HOR-MIL</x:v>
      </x:c>
      <x:c r="D270" s="70" t="str">
        <x:v>Figurita horizontal Milo</x:v>
      </x:c>
      <x:c r="E270" s="114" t="n">
        <x:v>1</x:v>
      </x:c>
      <x:c r="F270" s="114" t="str">
        <x:v>und</x:v>
      </x:c>
      <x:c r="G270" s="114" t="n">
        <x:v>0</x:v>
      </x:c>
      <x:c r="H270" s="70" t="str">
        <x:v>SEMITERMINADO</x:v>
      </x:c>
      <x:c r="I270" s="70" t="str">
        <x:v>SI</x:v>
      </x:c>
      <x:c r="J270" s="70" t="str">
        <x:v>AL_ENSAMBLAR</x:v>
      </x:c>
      <x:c r="K270" s="71" t="str">
        <x:v>Peso pendiente de validar; se consume por unidad.</x:v>
      </x:c>
    </x:row>
    <x:row r="271">
      <x:c r="A271" s="69" t="str">
        <x:v>SUN-MBI-270</x:v>
      </x:c>
      <x:c r="B271" s="70" t="str">
        <x:v>Sundae MOMOS Mango biche</x:v>
      </x:c>
      <x:c r="C271" s="70" t="str">
        <x:v>BASE-MOUSSE-MANGO-BICHE</x:v>
      </x:c>
      <x:c r="D271" s="70" t="str">
        <x:v>Mousse congelada Mango biche</x:v>
      </x:c>
      <x:c r="E271" s="114" t="n">
        <x:v>0.125</x:v>
      </x:c>
      <x:c r="F271" s="114" t="str">
        <x:v>kg</x:v>
      </x:c>
      <x:c r="G271" s="114" t="n">
        <x:v>0.125</x:v>
      </x:c>
      <x:c r="H271" s="70" t="str">
        <x:v>SUBRECETA</x:v>
      </x:c>
      <x:c r="I271" s="70" t="str">
        <x:v>SI</x:v>
      </x:c>
      <x:c r="J271" s="70" t="str">
        <x:v>AL_PREPARAR</x:v>
      </x:c>
      <x:c r="K271" s="71" t="str"/>
    </x:row>
    <x:row r="272">
      <x:c r="A272" s="69" t="str">
        <x:v>SUN-MBI-270</x:v>
      </x:c>
      <x:c r="B272" s="70" t="str">
        <x:v>Sundae MOMOS Mango biche</x:v>
      </x:c>
      <x:c r="C272" s="70" t="str">
        <x:v>BASE-CHEESECAKE-NEUTRO</x:v>
      </x:c>
      <x:c r="D272" s="70" t="str">
        <x:v>Cheesecake/crema</x:v>
      </x:c>
      <x:c r="E272" s="114" t="n">
        <x:v>0.04</x:v>
      </x:c>
      <x:c r="F272" s="114" t="str">
        <x:v>kg</x:v>
      </x:c>
      <x:c r="G272" s="114" t="n">
        <x:v>0.04</x:v>
      </x:c>
      <x:c r="H272" s="70" t="str">
        <x:v>SUBRECETA</x:v>
      </x:c>
      <x:c r="I272" s="70" t="str">
        <x:v>SI</x:v>
      </x:c>
      <x:c r="J272" s="70" t="str">
        <x:v>AL_PREPARAR</x:v>
      </x:c>
      <x:c r="K272" s="71" t="str"/>
    </x:row>
    <x:row r="273">
      <x:c r="A273" s="69" t="str">
        <x:v>SUN-MBI-270</x:v>
      </x:c>
      <x:c r="B273" s="70" t="str">
        <x:v>Sundae MOMOS Mango biche</x:v>
      </x:c>
      <x:c r="C273" s="70" t="str">
        <x:v>BASE-SALSA-MANGO-BICHE</x:v>
      </x:c>
      <x:c r="D273" s="70" t="str">
        <x:v>Salsa/ganache Mango biche</x:v>
      </x:c>
      <x:c r="E273" s="114" t="n">
        <x:v>0.04</x:v>
      </x:c>
      <x:c r="F273" s="114" t="str">
        <x:v>kg</x:v>
      </x:c>
      <x:c r="G273" s="114" t="n">
        <x:v>0.04</x:v>
      </x:c>
      <x:c r="H273" s="70" t="str">
        <x:v>SUBRECETA</x:v>
      </x:c>
      <x:c r="I273" s="70" t="str">
        <x:v>SI</x:v>
      </x:c>
      <x:c r="J273" s="70" t="str">
        <x:v>AL_PREPARAR</x:v>
      </x:c>
      <x:c r="K273" s="71" t="str"/>
    </x:row>
    <x:row r="274">
      <x:c r="A274" s="69" t="str">
        <x:v>SUN-MBI-270</x:v>
      </x:c>
      <x:c r="B274" s="70" t="str">
        <x:v>Sundae MOMOS Mango biche</x:v>
      </x:c>
      <x:c r="C274" s="70" t="str">
        <x:v>BASE-CROCANTE-NEUTRO</x:v>
      </x:c>
      <x:c r="D274" s="70" t="str">
        <x:v>Crocante/galleta</x:v>
      </x:c>
      <x:c r="E274" s="114" t="n">
        <x:v>0.03</x:v>
      </x:c>
      <x:c r="F274" s="114" t="str">
        <x:v>kg</x:v>
      </x:c>
      <x:c r="G274" s="114" t="n">
        <x:v>0.03</x:v>
      </x:c>
      <x:c r="H274" s="70" t="str">
        <x:v>SUBRECETA</x:v>
      </x:c>
      <x:c r="I274" s="70" t="str">
        <x:v>SI</x:v>
      </x:c>
      <x:c r="J274" s="70" t="str">
        <x:v>AL_PREPARAR</x:v>
      </x:c>
      <x:c r="K274" s="71" t="str"/>
    </x:row>
    <x:row r="275">
      <x:c r="A275" s="69" t="str">
        <x:v>SUN-MBI-270</x:v>
      </x:c>
      <x:c r="B275" s="70" t="str">
        <x:v>Sundae MOMOS Mango biche</x:v>
      </x:c>
      <x:c r="C275" s="70" t="str">
        <x:v>BASE-INCLUSION-MANGO-BICHE</x:v>
      </x:c>
      <x:c r="D275" s="70" t="str">
        <x:v>Fruta o inclusión Mango biche</x:v>
      </x:c>
      <x:c r="E275" s="114" t="n">
        <x:v>0.02</x:v>
      </x:c>
      <x:c r="F275" s="114" t="str">
        <x:v>kg</x:v>
      </x:c>
      <x:c r="G275" s="114" t="n">
        <x:v>0.02</x:v>
      </x:c>
      <x:c r="H275" s="70" t="str">
        <x:v>INSUMO_O_SUBRECETA</x:v>
      </x:c>
      <x:c r="I275" s="70" t="str">
        <x:v>SI</x:v>
      </x:c>
      <x:c r="J275" s="70" t="str">
        <x:v>AL_PREPARAR</x:v>
      </x:c>
      <x:c r="K275" s="71" t="str"/>
    </x:row>
    <x:row r="276">
      <x:c r="A276" s="69" t="str">
        <x:v>SUN-MBI-270</x:v>
      </x:c>
      <x:c r="B276" s="70" t="str">
        <x:v>Sundae MOMOS Mango biche</x:v>
      </x:c>
      <x:c r="C276" s="70" t="str">
        <x:v>TOP-MANGO-BICHE</x:v>
      </x:c>
      <x:c r="D276" s="70" t="str">
        <x:v>Topping Mango biche</x:v>
      </x:c>
      <x:c r="E276" s="114" t="n">
        <x:v>0.015</x:v>
      </x:c>
      <x:c r="F276" s="114" t="str">
        <x:v>kg</x:v>
      </x:c>
      <x:c r="G276" s="114" t="n">
        <x:v>0.015</x:v>
      </x:c>
      <x:c r="H276" s="70" t="str">
        <x:v>INSUMO_O_SUBRECETA</x:v>
      </x:c>
      <x:c r="I276" s="70" t="str">
        <x:v>SI</x:v>
      </x:c>
      <x:c r="J276" s="70" t="str">
        <x:v>AL_PREPARAR</x:v>
      </x:c>
      <x:c r="K276" s="71" t="str"/>
    </x:row>
    <x:row r="277">
      <x:c r="A277" s="69" t="str">
        <x:v>SUN-COC-270</x:v>
      </x:c>
      <x:c r="B277" s="70" t="str">
        <x:v>Sundae MOMOS Coco</x:v>
      </x:c>
      <x:c r="C277" s="70" t="str">
        <x:v>BASE-MOUSSE-COCO</x:v>
      </x:c>
      <x:c r="D277" s="70" t="str">
        <x:v>Mousse congelada Coco</x:v>
      </x:c>
      <x:c r="E277" s="114" t="n">
        <x:v>0.125</x:v>
      </x:c>
      <x:c r="F277" s="114" t="str">
        <x:v>kg</x:v>
      </x:c>
      <x:c r="G277" s="114" t="n">
        <x:v>0.125</x:v>
      </x:c>
      <x:c r="H277" s="70" t="str">
        <x:v>SUBRECETA</x:v>
      </x:c>
      <x:c r="I277" s="70" t="str">
        <x:v>SI</x:v>
      </x:c>
      <x:c r="J277" s="70" t="str">
        <x:v>AL_PREPARAR</x:v>
      </x:c>
      <x:c r="K277" s="71" t="str"/>
    </x:row>
    <x:row r="278">
      <x:c r="A278" s="69" t="str">
        <x:v>SUN-COC-270</x:v>
      </x:c>
      <x:c r="B278" s="70" t="str">
        <x:v>Sundae MOMOS Coco</x:v>
      </x:c>
      <x:c r="C278" s="70" t="str">
        <x:v>BASE-CHEESECAKE-NEUTRO</x:v>
      </x:c>
      <x:c r="D278" s="70" t="str">
        <x:v>Cheesecake/crema</x:v>
      </x:c>
      <x:c r="E278" s="114" t="n">
        <x:v>0.04</x:v>
      </x:c>
      <x:c r="F278" s="114" t="str">
        <x:v>kg</x:v>
      </x:c>
      <x:c r="G278" s="114" t="n">
        <x:v>0.04</x:v>
      </x:c>
      <x:c r="H278" s="70" t="str">
        <x:v>SUBRECETA</x:v>
      </x:c>
      <x:c r="I278" s="70" t="str">
        <x:v>SI</x:v>
      </x:c>
      <x:c r="J278" s="70" t="str">
        <x:v>AL_PREPARAR</x:v>
      </x:c>
      <x:c r="K278" s="71" t="str"/>
    </x:row>
    <x:row r="279">
      <x:c r="A279" s="69" t="str">
        <x:v>SUN-COC-270</x:v>
      </x:c>
      <x:c r="B279" s="70" t="str">
        <x:v>Sundae MOMOS Coco</x:v>
      </x:c>
      <x:c r="C279" s="70" t="str">
        <x:v>BASE-SALSA-LECHE-CONDENSADA</x:v>
      </x:c>
      <x:c r="D279" s="70" t="str">
        <x:v>Salsa/ganache Coco</x:v>
      </x:c>
      <x:c r="E279" s="114" t="n">
        <x:v>0.04</x:v>
      </x:c>
      <x:c r="F279" s="114" t="str">
        <x:v>kg</x:v>
      </x:c>
      <x:c r="G279" s="114" t="n">
        <x:v>0.04</x:v>
      </x:c>
      <x:c r="H279" s="70" t="str">
        <x:v>SUBRECETA</x:v>
      </x:c>
      <x:c r="I279" s="70" t="str">
        <x:v>SI</x:v>
      </x:c>
      <x:c r="J279" s="70" t="str">
        <x:v>AL_PREPARAR</x:v>
      </x:c>
      <x:c r="K279" s="71" t="str"/>
    </x:row>
    <x:row r="280">
      <x:c r="A280" s="69" t="str">
        <x:v>SUN-COC-270</x:v>
      </x:c>
      <x:c r="B280" s="70" t="str">
        <x:v>Sundae MOMOS Coco</x:v>
      </x:c>
      <x:c r="C280" s="70" t="str">
        <x:v>BASE-CROCANTE-NEUTRO</x:v>
      </x:c>
      <x:c r="D280" s="70" t="str">
        <x:v>Crocante/galleta</x:v>
      </x:c>
      <x:c r="E280" s="114" t="n">
        <x:v>0.03</x:v>
      </x:c>
      <x:c r="F280" s="114" t="str">
        <x:v>kg</x:v>
      </x:c>
      <x:c r="G280" s="114" t="n">
        <x:v>0.03</x:v>
      </x:c>
      <x:c r="H280" s="70" t="str">
        <x:v>SUBRECETA</x:v>
      </x:c>
      <x:c r="I280" s="70" t="str">
        <x:v>SI</x:v>
      </x:c>
      <x:c r="J280" s="70" t="str">
        <x:v>AL_PREPARAR</x:v>
      </x:c>
      <x:c r="K280" s="71" t="str"/>
    </x:row>
    <x:row r="281">
      <x:c r="A281" s="69" t="str">
        <x:v>SUN-COC-270</x:v>
      </x:c>
      <x:c r="B281" s="70" t="str">
        <x:v>Sundae MOMOS Coco</x:v>
      </x:c>
      <x:c r="C281" s="70" t="str">
        <x:v>INS-COCO-RALLADO</x:v>
      </x:c>
      <x:c r="D281" s="70" t="str">
        <x:v>Fruta o inclusión Coco</x:v>
      </x:c>
      <x:c r="E281" s="114" t="n">
        <x:v>0.02</x:v>
      </x:c>
      <x:c r="F281" s="114" t="str">
        <x:v>kg</x:v>
      </x:c>
      <x:c r="G281" s="114" t="n">
        <x:v>0.02</x:v>
      </x:c>
      <x:c r="H281" s="70" t="str">
        <x:v>INSUMO_O_SUBRECETA</x:v>
      </x:c>
      <x:c r="I281" s="70" t="str">
        <x:v>SI</x:v>
      </x:c>
      <x:c r="J281" s="70" t="str">
        <x:v>AL_PREPARAR</x:v>
      </x:c>
      <x:c r="K281" s="71" t="str"/>
    </x:row>
    <x:row r="282">
      <x:c r="A282" s="69" t="str">
        <x:v>SUN-COC-270</x:v>
      </x:c>
      <x:c r="B282" s="70" t="str">
        <x:v>Sundae MOMOS Coco</x:v>
      </x:c>
      <x:c r="C282" s="70" t="str">
        <x:v>TOP-COCO-RALLADO</x:v>
      </x:c>
      <x:c r="D282" s="70" t="str">
        <x:v>Topping Coco</x:v>
      </x:c>
      <x:c r="E282" s="114" t="n">
        <x:v>0.015</x:v>
      </x:c>
      <x:c r="F282" s="114" t="str">
        <x:v>kg</x:v>
      </x:c>
      <x:c r="G282" s="114" t="n">
        <x:v>0.015</x:v>
      </x:c>
      <x:c r="H282" s="70" t="str">
        <x:v>INSUMO_O_SUBRECETA</x:v>
      </x:c>
      <x:c r="I282" s="70" t="str">
        <x:v>SI</x:v>
      </x:c>
      <x:c r="J282" s="70" t="str">
        <x:v>AL_PREPARAR</x:v>
      </x:c>
      <x:c r="K282" s="71" t="str"/>
    </x:row>
    <x:row r="283">
      <x:c r="A283" s="69" t="str">
        <x:v>SUN-MAR-270</x:v>
      </x:c>
      <x:c r="B283" s="70" t="str">
        <x:v>Sundae MOMOS Maracuyá</x:v>
      </x:c>
      <x:c r="C283" s="70" t="str">
        <x:v>BASE-MOUSSE-MARACUYA</x:v>
      </x:c>
      <x:c r="D283" s="70" t="str">
        <x:v>Mousse congelada Maracuyá</x:v>
      </x:c>
      <x:c r="E283" s="114" t="n">
        <x:v>0.125</x:v>
      </x:c>
      <x:c r="F283" s="114" t="str">
        <x:v>kg</x:v>
      </x:c>
      <x:c r="G283" s="114" t="n">
        <x:v>0.125</x:v>
      </x:c>
      <x:c r="H283" s="70" t="str">
        <x:v>SUBRECETA</x:v>
      </x:c>
      <x:c r="I283" s="70" t="str">
        <x:v>SI</x:v>
      </x:c>
      <x:c r="J283" s="70" t="str">
        <x:v>AL_PREPARAR</x:v>
      </x:c>
      <x:c r="K283" s="71" t="str"/>
    </x:row>
    <x:row r="284">
      <x:c r="A284" s="69" t="str">
        <x:v>SUN-MAR-270</x:v>
      </x:c>
      <x:c r="B284" s="70" t="str">
        <x:v>Sundae MOMOS Maracuyá</x:v>
      </x:c>
      <x:c r="C284" s="70" t="str">
        <x:v>BASE-CHEESECAKE-NEUTRO</x:v>
      </x:c>
      <x:c r="D284" s="70" t="str">
        <x:v>Cheesecake/crema</x:v>
      </x:c>
      <x:c r="E284" s="114" t="n">
        <x:v>0.04</x:v>
      </x:c>
      <x:c r="F284" s="114" t="str">
        <x:v>kg</x:v>
      </x:c>
      <x:c r="G284" s="114" t="n">
        <x:v>0.04</x:v>
      </x:c>
      <x:c r="H284" s="70" t="str">
        <x:v>SUBRECETA</x:v>
      </x:c>
      <x:c r="I284" s="70" t="str">
        <x:v>SI</x:v>
      </x:c>
      <x:c r="J284" s="70" t="str">
        <x:v>AL_PREPARAR</x:v>
      </x:c>
      <x:c r="K284" s="71" t="str"/>
    </x:row>
    <x:row r="285">
      <x:c r="A285" s="69" t="str">
        <x:v>SUN-MAR-270</x:v>
      </x:c>
      <x:c r="B285" s="70" t="str">
        <x:v>Sundae MOMOS Maracuyá</x:v>
      </x:c>
      <x:c r="C285" s="70" t="str">
        <x:v>BASE-SALSA-MARACUYA</x:v>
      </x:c>
      <x:c r="D285" s="70" t="str">
        <x:v>Salsa/ganache Maracuyá</x:v>
      </x:c>
      <x:c r="E285" s="114" t="n">
        <x:v>0.04</x:v>
      </x:c>
      <x:c r="F285" s="114" t="str">
        <x:v>kg</x:v>
      </x:c>
      <x:c r="G285" s="114" t="n">
        <x:v>0.04</x:v>
      </x:c>
      <x:c r="H285" s="70" t="str">
        <x:v>SUBRECETA</x:v>
      </x:c>
      <x:c r="I285" s="70" t="str">
        <x:v>SI</x:v>
      </x:c>
      <x:c r="J285" s="70" t="str">
        <x:v>AL_PREPARAR</x:v>
      </x:c>
      <x:c r="K285" s="71" t="str"/>
    </x:row>
    <x:row r="286">
      <x:c r="A286" s="69" t="str">
        <x:v>SUN-MAR-270</x:v>
      </x:c>
      <x:c r="B286" s="70" t="str">
        <x:v>Sundae MOMOS Maracuyá</x:v>
      </x:c>
      <x:c r="C286" s="70" t="str">
        <x:v>BASE-CROCANTE-NEUTRO</x:v>
      </x:c>
      <x:c r="D286" s="70" t="str">
        <x:v>Crocante/galleta</x:v>
      </x:c>
      <x:c r="E286" s="114" t="n">
        <x:v>0.03</x:v>
      </x:c>
      <x:c r="F286" s="114" t="str">
        <x:v>kg</x:v>
      </x:c>
      <x:c r="G286" s="114" t="n">
        <x:v>0.03</x:v>
      </x:c>
      <x:c r="H286" s="70" t="str">
        <x:v>SUBRECETA</x:v>
      </x:c>
      <x:c r="I286" s="70" t="str">
        <x:v>SI</x:v>
      </x:c>
      <x:c r="J286" s="70" t="str">
        <x:v>AL_PREPARAR</x:v>
      </x:c>
      <x:c r="K286" s="71" t="str"/>
    </x:row>
    <x:row r="287">
      <x:c r="A287" s="69" t="str">
        <x:v>SUN-MAR-270</x:v>
      </x:c>
      <x:c r="B287" s="70" t="str">
        <x:v>Sundae MOMOS Maracuyá</x:v>
      </x:c>
      <x:c r="C287" s="70" t="str">
        <x:v>BASE-INCLUSION-MARACUYA</x:v>
      </x:c>
      <x:c r="D287" s="70" t="str">
        <x:v>Fruta o inclusión Maracuyá</x:v>
      </x:c>
      <x:c r="E287" s="114" t="n">
        <x:v>0.02</x:v>
      </x:c>
      <x:c r="F287" s="114" t="str">
        <x:v>kg</x:v>
      </x:c>
      <x:c r="G287" s="114" t="n">
        <x:v>0.02</x:v>
      </x:c>
      <x:c r="H287" s="70" t="str">
        <x:v>INSUMO_O_SUBRECETA</x:v>
      </x:c>
      <x:c r="I287" s="70" t="str">
        <x:v>SI</x:v>
      </x:c>
      <x:c r="J287" s="70" t="str">
        <x:v>AL_PREPARAR</x:v>
      </x:c>
      <x:c r="K287" s="71" t="str"/>
    </x:row>
    <x:row r="288">
      <x:c r="A288" s="69" t="str">
        <x:v>SUN-MAR-270</x:v>
      </x:c>
      <x:c r="B288" s="70" t="str">
        <x:v>Sundae MOMOS Maracuyá</x:v>
      </x:c>
      <x:c r="C288" s="70" t="str">
        <x:v>TOP-MARACUYA</x:v>
      </x:c>
      <x:c r="D288" s="70" t="str">
        <x:v>Topping Maracuyá</x:v>
      </x:c>
      <x:c r="E288" s="114" t="n">
        <x:v>0.015</x:v>
      </x:c>
      <x:c r="F288" s="114" t="str">
        <x:v>kg</x:v>
      </x:c>
      <x:c r="G288" s="114" t="n">
        <x:v>0.015</x:v>
      </x:c>
      <x:c r="H288" s="70" t="str">
        <x:v>INSUMO_O_SUBRECETA</x:v>
      </x:c>
      <x:c r="I288" s="70" t="str">
        <x:v>SI</x:v>
      </x:c>
      <x:c r="J288" s="70" t="str">
        <x:v>AL_PREPARAR</x:v>
      </x:c>
      <x:c r="K288" s="71" t="str"/>
    </x:row>
    <x:row r="289">
      <x:c r="A289" s="69" t="str">
        <x:v>SUN-LIM-270</x:v>
      </x:c>
      <x:c r="B289" s="70" t="str">
        <x:v>Sundae MOMOS Limón</x:v>
      </x:c>
      <x:c r="C289" s="70" t="str">
        <x:v>BASE-MOUSSE-LIMON</x:v>
      </x:c>
      <x:c r="D289" s="70" t="str">
        <x:v>Mousse congelada Limón</x:v>
      </x:c>
      <x:c r="E289" s="114" t="n">
        <x:v>0.125</x:v>
      </x:c>
      <x:c r="F289" s="114" t="str">
        <x:v>kg</x:v>
      </x:c>
      <x:c r="G289" s="114" t="n">
        <x:v>0.125</x:v>
      </x:c>
      <x:c r="H289" s="70" t="str">
        <x:v>SUBRECETA</x:v>
      </x:c>
      <x:c r="I289" s="70" t="str">
        <x:v>SI</x:v>
      </x:c>
      <x:c r="J289" s="70" t="str">
        <x:v>AL_PREPARAR</x:v>
      </x:c>
      <x:c r="K289" s="71" t="str"/>
    </x:row>
    <x:row r="290">
      <x:c r="A290" s="69" t="str">
        <x:v>SUN-LIM-270</x:v>
      </x:c>
      <x:c r="B290" s="70" t="str">
        <x:v>Sundae MOMOS Limón</x:v>
      </x:c>
      <x:c r="C290" s="70" t="str">
        <x:v>BASE-CHEESECAKE-NEUTRO</x:v>
      </x:c>
      <x:c r="D290" s="70" t="str">
        <x:v>Cheesecake/crema</x:v>
      </x:c>
      <x:c r="E290" s="114" t="n">
        <x:v>0.04</x:v>
      </x:c>
      <x:c r="F290" s="114" t="str">
        <x:v>kg</x:v>
      </x:c>
      <x:c r="G290" s="114" t="n">
        <x:v>0.04</x:v>
      </x:c>
      <x:c r="H290" s="70" t="str">
        <x:v>SUBRECETA</x:v>
      </x:c>
      <x:c r="I290" s="70" t="str">
        <x:v>SI</x:v>
      </x:c>
      <x:c r="J290" s="70" t="str">
        <x:v>AL_PREPARAR</x:v>
      </x:c>
      <x:c r="K290" s="71" t="str"/>
    </x:row>
    <x:row r="291">
      <x:c r="A291" s="69" t="str">
        <x:v>SUN-LIM-270</x:v>
      </x:c>
      <x:c r="B291" s="70" t="str">
        <x:v>Sundae MOMOS Limón</x:v>
      </x:c>
      <x:c r="C291" s="70" t="str">
        <x:v>BASE-SALSA-LIMON</x:v>
      </x:c>
      <x:c r="D291" s="70" t="str">
        <x:v>Salsa/ganache Limón</x:v>
      </x:c>
      <x:c r="E291" s="114" t="n">
        <x:v>0.04</x:v>
      </x:c>
      <x:c r="F291" s="114" t="str">
        <x:v>kg</x:v>
      </x:c>
      <x:c r="G291" s="114" t="n">
        <x:v>0.04</x:v>
      </x:c>
      <x:c r="H291" s="70" t="str">
        <x:v>SUBRECETA</x:v>
      </x:c>
      <x:c r="I291" s="70" t="str">
        <x:v>SI</x:v>
      </x:c>
      <x:c r="J291" s="70" t="str">
        <x:v>AL_PREPARAR</x:v>
      </x:c>
      <x:c r="K291" s="71" t="str"/>
    </x:row>
    <x:row r="292">
      <x:c r="A292" s="69" t="str">
        <x:v>SUN-LIM-270</x:v>
      </x:c>
      <x:c r="B292" s="70" t="str">
        <x:v>Sundae MOMOS Limón</x:v>
      </x:c>
      <x:c r="C292" s="70" t="str">
        <x:v>BASE-CROCANTE-NEUTRO</x:v>
      </x:c>
      <x:c r="D292" s="70" t="str">
        <x:v>Crocante/galleta</x:v>
      </x:c>
      <x:c r="E292" s="114" t="n">
        <x:v>0.03</x:v>
      </x:c>
      <x:c r="F292" s="114" t="str">
        <x:v>kg</x:v>
      </x:c>
      <x:c r="G292" s="114" t="n">
        <x:v>0.03</x:v>
      </x:c>
      <x:c r="H292" s="70" t="str">
        <x:v>SUBRECETA</x:v>
      </x:c>
      <x:c r="I292" s="70" t="str">
        <x:v>SI</x:v>
      </x:c>
      <x:c r="J292" s="70" t="str">
        <x:v>AL_PREPARAR</x:v>
      </x:c>
      <x:c r="K292" s="71" t="str"/>
    </x:row>
    <x:row r="293">
      <x:c r="A293" s="69" t="str">
        <x:v>SUN-LIM-270</x:v>
      </x:c>
      <x:c r="B293" s="70" t="str">
        <x:v>Sundae MOMOS Limón</x:v>
      </x:c>
      <x:c r="C293" s="70" t="str">
        <x:v>BASE-INCLUSION-LIMON</x:v>
      </x:c>
      <x:c r="D293" s="70" t="str">
        <x:v>Fruta o inclusión Limón</x:v>
      </x:c>
      <x:c r="E293" s="114" t="n">
        <x:v>0.02</x:v>
      </x:c>
      <x:c r="F293" s="114" t="str">
        <x:v>kg</x:v>
      </x:c>
      <x:c r="G293" s="114" t="n">
        <x:v>0.02</x:v>
      </x:c>
      <x:c r="H293" s="70" t="str">
        <x:v>INSUMO_O_SUBRECETA</x:v>
      </x:c>
      <x:c r="I293" s="70" t="str">
        <x:v>SI</x:v>
      </x:c>
      <x:c r="J293" s="70" t="str">
        <x:v>AL_PREPARAR</x:v>
      </x:c>
      <x:c r="K293" s="71" t="str"/>
    </x:row>
    <x:row r="294">
      <x:c r="A294" s="69" t="str">
        <x:v>SUN-LIM-270</x:v>
      </x:c>
      <x:c r="B294" s="70" t="str">
        <x:v>Sundae MOMOS Limón</x:v>
      </x:c>
      <x:c r="C294" s="70" t="str">
        <x:v>TOP-RALLADURA-LIMON</x:v>
      </x:c>
      <x:c r="D294" s="70" t="str">
        <x:v>Topping Limón</x:v>
      </x:c>
      <x:c r="E294" s="114" t="n">
        <x:v>0.015</x:v>
      </x:c>
      <x:c r="F294" s="114" t="str">
        <x:v>kg</x:v>
      </x:c>
      <x:c r="G294" s="114" t="n">
        <x:v>0.015</x:v>
      </x:c>
      <x:c r="H294" s="70" t="str">
        <x:v>INSUMO_O_SUBRECETA</x:v>
      </x:c>
      <x:c r="I294" s="70" t="str">
        <x:v>SI</x:v>
      </x:c>
      <x:c r="J294" s="70" t="str">
        <x:v>AL_PREPARAR</x:v>
      </x:c>
      <x:c r="K294" s="71" t="str"/>
    </x:row>
    <x:row r="295">
      <x:c r="A295" s="69" t="str">
        <x:v>SUN-BAN-270</x:v>
      </x:c>
      <x:c r="B295" s="70" t="str">
        <x:v>Sundae MOMOS Banano</x:v>
      </x:c>
      <x:c r="C295" s="70" t="str">
        <x:v>BASE-MOUSSE-BANANO</x:v>
      </x:c>
      <x:c r="D295" s="70" t="str">
        <x:v>Mousse congelada Banano</x:v>
      </x:c>
      <x:c r="E295" s="114" t="n">
        <x:v>0.125</x:v>
      </x:c>
      <x:c r="F295" s="114" t="str">
        <x:v>kg</x:v>
      </x:c>
      <x:c r="G295" s="114" t="n">
        <x:v>0.125</x:v>
      </x:c>
      <x:c r="H295" s="70" t="str">
        <x:v>SUBRECETA</x:v>
      </x:c>
      <x:c r="I295" s="70" t="str">
        <x:v>SI</x:v>
      </x:c>
      <x:c r="J295" s="70" t="str">
        <x:v>AL_PREPARAR</x:v>
      </x:c>
      <x:c r="K295" s="71" t="str"/>
    </x:row>
    <x:row r="296">
      <x:c r="A296" s="69" t="str">
        <x:v>SUN-BAN-270</x:v>
      </x:c>
      <x:c r="B296" s="70" t="str">
        <x:v>Sundae MOMOS Banano</x:v>
      </x:c>
      <x:c r="C296" s="70" t="str">
        <x:v>BASE-CHEESECAKE-NEUTRO</x:v>
      </x:c>
      <x:c r="D296" s="70" t="str">
        <x:v>Cheesecake/crema</x:v>
      </x:c>
      <x:c r="E296" s="114" t="n">
        <x:v>0.04</x:v>
      </x:c>
      <x:c r="F296" s="114" t="str">
        <x:v>kg</x:v>
      </x:c>
      <x:c r="G296" s="114" t="n">
        <x:v>0.04</x:v>
      </x:c>
      <x:c r="H296" s="70" t="str">
        <x:v>SUBRECETA</x:v>
      </x:c>
      <x:c r="I296" s="70" t="str">
        <x:v>SI</x:v>
      </x:c>
      <x:c r="J296" s="70" t="str">
        <x:v>AL_PREPARAR</x:v>
      </x:c>
      <x:c r="K296" s="71" t="str"/>
    </x:row>
    <x:row r="297">
      <x:c r="A297" s="69" t="str">
        <x:v>SUN-BAN-270</x:v>
      </x:c>
      <x:c r="B297" s="70" t="str">
        <x:v>Sundae MOMOS Banano</x:v>
      </x:c>
      <x:c r="C297" s="70" t="str">
        <x:v>BASE-SALSA-BANANO</x:v>
      </x:c>
      <x:c r="D297" s="70" t="str">
        <x:v>Salsa/ganache Banano</x:v>
      </x:c>
      <x:c r="E297" s="114" t="n">
        <x:v>0.04</x:v>
      </x:c>
      <x:c r="F297" s="114" t="str">
        <x:v>kg</x:v>
      </x:c>
      <x:c r="G297" s="114" t="n">
        <x:v>0.04</x:v>
      </x:c>
      <x:c r="H297" s="70" t="str">
        <x:v>SUBRECETA</x:v>
      </x:c>
      <x:c r="I297" s="70" t="str">
        <x:v>SI</x:v>
      </x:c>
      <x:c r="J297" s="70" t="str">
        <x:v>AL_PREPARAR</x:v>
      </x:c>
      <x:c r="K297" s="71" t="str"/>
    </x:row>
    <x:row r="298">
      <x:c r="A298" s="69" t="str">
        <x:v>SUN-BAN-270</x:v>
      </x:c>
      <x:c r="B298" s="70" t="str">
        <x:v>Sundae MOMOS Banano</x:v>
      </x:c>
      <x:c r="C298" s="70" t="str">
        <x:v>BASE-CROCANTE-SALTIN</x:v>
      </x:c>
      <x:c r="D298" s="70" t="str">
        <x:v>Crocante/galleta</x:v>
      </x:c>
      <x:c r="E298" s="114" t="n">
        <x:v>0.03</x:v>
      </x:c>
      <x:c r="F298" s="114" t="str">
        <x:v>kg</x:v>
      </x:c>
      <x:c r="G298" s="114" t="n">
        <x:v>0.03</x:v>
      </x:c>
      <x:c r="H298" s="70" t="str">
        <x:v>SUBRECETA</x:v>
      </x:c>
      <x:c r="I298" s="70" t="str">
        <x:v>SI</x:v>
      </x:c>
      <x:c r="J298" s="70" t="str">
        <x:v>AL_PREPARAR</x:v>
      </x:c>
      <x:c r="K298" s="71" t="str"/>
    </x:row>
    <x:row r="299">
      <x:c r="A299" s="69" t="str">
        <x:v>SUN-BAN-270</x:v>
      </x:c>
      <x:c r="B299" s="70" t="str">
        <x:v>Sundae MOMOS Banano</x:v>
      </x:c>
      <x:c r="C299" s="70" t="str">
        <x:v>BASE-INCLUSION-BANANO</x:v>
      </x:c>
      <x:c r="D299" s="70" t="str">
        <x:v>Fruta o inclusión Banano</x:v>
      </x:c>
      <x:c r="E299" s="114" t="n">
        <x:v>0.02</x:v>
      </x:c>
      <x:c r="F299" s="114" t="str">
        <x:v>kg</x:v>
      </x:c>
      <x:c r="G299" s="114" t="n">
        <x:v>0.02</x:v>
      </x:c>
      <x:c r="H299" s="70" t="str">
        <x:v>INSUMO_O_SUBRECETA</x:v>
      </x:c>
      <x:c r="I299" s="70" t="str">
        <x:v>SI</x:v>
      </x:c>
      <x:c r="J299" s="70" t="str">
        <x:v>AL_PREPARAR</x:v>
      </x:c>
      <x:c r="K299" s="71" t="str"/>
    </x:row>
    <x:row r="300">
      <x:c r="A300" s="69" t="str">
        <x:v>SUN-BAN-270</x:v>
      </x:c>
      <x:c r="B300" s="70" t="str">
        <x:v>Sundae MOMOS Banano</x:v>
      </x:c>
      <x:c r="C300" s="70" t="str">
        <x:v>TOP-BANANO</x:v>
      </x:c>
      <x:c r="D300" s="70" t="str">
        <x:v>Topping Banano</x:v>
      </x:c>
      <x:c r="E300" s="114" t="n">
        <x:v>0.015</x:v>
      </x:c>
      <x:c r="F300" s="114" t="str">
        <x:v>kg</x:v>
      </x:c>
      <x:c r="G300" s="114" t="n">
        <x:v>0.015</x:v>
      </x:c>
      <x:c r="H300" s="70" t="str">
        <x:v>INSUMO_O_SUBRECETA</x:v>
      </x:c>
      <x:c r="I300" s="70" t="str">
        <x:v>SI</x:v>
      </x:c>
      <x:c r="J300" s="70" t="str">
        <x:v>AL_PREPARAR</x:v>
      </x:c>
      <x:c r="K300" s="71" t="str"/>
    </x:row>
    <x:row r="301">
      <x:c r="A301" s="69" t="str">
        <x:v>SUN-DUR-270</x:v>
      </x:c>
      <x:c r="B301" s="70" t="str">
        <x:v>Sundae MOMOS Durazno</x:v>
      </x:c>
      <x:c r="C301" s="70" t="str">
        <x:v>BASE-MOUSSE-DURAZNO</x:v>
      </x:c>
      <x:c r="D301" s="70" t="str">
        <x:v>Mousse congelada Durazno</x:v>
      </x:c>
      <x:c r="E301" s="114" t="n">
        <x:v>0.125</x:v>
      </x:c>
      <x:c r="F301" s="114" t="str">
        <x:v>kg</x:v>
      </x:c>
      <x:c r="G301" s="114" t="n">
        <x:v>0.125</x:v>
      </x:c>
      <x:c r="H301" s="70" t="str">
        <x:v>SUBRECETA</x:v>
      </x:c>
      <x:c r="I301" s="70" t="str">
        <x:v>SI</x:v>
      </x:c>
      <x:c r="J301" s="70" t="str">
        <x:v>AL_PREPARAR</x:v>
      </x:c>
      <x:c r="K301" s="71" t="str"/>
    </x:row>
    <x:row r="302">
      <x:c r="A302" s="69" t="str">
        <x:v>SUN-DUR-270</x:v>
      </x:c>
      <x:c r="B302" s="70" t="str">
        <x:v>Sundae MOMOS Durazno</x:v>
      </x:c>
      <x:c r="C302" s="70" t="str">
        <x:v>BASE-CHEESECAKE-NEUTRO</x:v>
      </x:c>
      <x:c r="D302" s="70" t="str">
        <x:v>Cheesecake/crema</x:v>
      </x:c>
      <x:c r="E302" s="114" t="n">
        <x:v>0.04</x:v>
      </x:c>
      <x:c r="F302" s="114" t="str">
        <x:v>kg</x:v>
      </x:c>
      <x:c r="G302" s="114" t="n">
        <x:v>0.04</x:v>
      </x:c>
      <x:c r="H302" s="70" t="str">
        <x:v>SUBRECETA</x:v>
      </x:c>
      <x:c r="I302" s="70" t="str">
        <x:v>SI</x:v>
      </x:c>
      <x:c r="J302" s="70" t="str">
        <x:v>AL_PREPARAR</x:v>
      </x:c>
      <x:c r="K302" s="71" t="str"/>
    </x:row>
    <x:row r="303">
      <x:c r="A303" s="69" t="str">
        <x:v>SUN-DUR-270</x:v>
      </x:c>
      <x:c r="B303" s="70" t="str">
        <x:v>Sundae MOMOS Durazno</x:v>
      </x:c>
      <x:c r="C303" s="70" t="str">
        <x:v>BASE-SALSA-DURAZNO</x:v>
      </x:c>
      <x:c r="D303" s="70" t="str">
        <x:v>Salsa/ganache Durazno</x:v>
      </x:c>
      <x:c r="E303" s="114" t="n">
        <x:v>0.04</x:v>
      </x:c>
      <x:c r="F303" s="114" t="str">
        <x:v>kg</x:v>
      </x:c>
      <x:c r="G303" s="114" t="n">
        <x:v>0.04</x:v>
      </x:c>
      <x:c r="H303" s="70" t="str">
        <x:v>SUBRECETA</x:v>
      </x:c>
      <x:c r="I303" s="70" t="str">
        <x:v>SI</x:v>
      </x:c>
      <x:c r="J303" s="70" t="str">
        <x:v>AL_PREPARAR</x:v>
      </x:c>
      <x:c r="K303" s="71" t="str"/>
    </x:row>
    <x:row r="304">
      <x:c r="A304" s="69" t="str">
        <x:v>SUN-DUR-270</x:v>
      </x:c>
      <x:c r="B304" s="70" t="str">
        <x:v>Sundae MOMOS Durazno</x:v>
      </x:c>
      <x:c r="C304" s="70" t="str">
        <x:v>BASE-CROCANTE-NEUTRO</x:v>
      </x:c>
      <x:c r="D304" s="70" t="str">
        <x:v>Crocante/galleta</x:v>
      </x:c>
      <x:c r="E304" s="114" t="n">
        <x:v>0.03</x:v>
      </x:c>
      <x:c r="F304" s="114" t="str">
        <x:v>kg</x:v>
      </x:c>
      <x:c r="G304" s="114" t="n">
        <x:v>0.03</x:v>
      </x:c>
      <x:c r="H304" s="70" t="str">
        <x:v>SUBRECETA</x:v>
      </x:c>
      <x:c r="I304" s="70" t="str">
        <x:v>SI</x:v>
      </x:c>
      <x:c r="J304" s="70" t="str">
        <x:v>AL_PREPARAR</x:v>
      </x:c>
      <x:c r="K304" s="71" t="str"/>
    </x:row>
    <x:row r="305">
      <x:c r="A305" s="69" t="str">
        <x:v>SUN-DUR-270</x:v>
      </x:c>
      <x:c r="B305" s="70" t="str">
        <x:v>Sundae MOMOS Durazno</x:v>
      </x:c>
      <x:c r="C305" s="70" t="str">
        <x:v>BASE-INCLUSION-DURAZNO</x:v>
      </x:c>
      <x:c r="D305" s="70" t="str">
        <x:v>Fruta o inclusión Durazno</x:v>
      </x:c>
      <x:c r="E305" s="114" t="n">
        <x:v>0.02</x:v>
      </x:c>
      <x:c r="F305" s="114" t="str">
        <x:v>kg</x:v>
      </x:c>
      <x:c r="G305" s="114" t="n">
        <x:v>0.02</x:v>
      </x:c>
      <x:c r="H305" s="70" t="str">
        <x:v>INSUMO_O_SUBRECETA</x:v>
      </x:c>
      <x:c r="I305" s="70" t="str">
        <x:v>SI</x:v>
      </x:c>
      <x:c r="J305" s="70" t="str">
        <x:v>AL_PREPARAR</x:v>
      </x:c>
      <x:c r="K305" s="71" t="str"/>
    </x:row>
    <x:row r="306">
      <x:c r="A306" s="69" t="str">
        <x:v>SUN-DUR-270</x:v>
      </x:c>
      <x:c r="B306" s="70" t="str">
        <x:v>Sundae MOMOS Durazno</x:v>
      </x:c>
      <x:c r="C306" s="70" t="str">
        <x:v>TOP-DURAZNO</x:v>
      </x:c>
      <x:c r="D306" s="70" t="str">
        <x:v>Topping Durazno</x:v>
      </x:c>
      <x:c r="E306" s="114" t="n">
        <x:v>0.015</x:v>
      </x:c>
      <x:c r="F306" s="114" t="str">
        <x:v>kg</x:v>
      </x:c>
      <x:c r="G306" s="114" t="n">
        <x:v>0.015</x:v>
      </x:c>
      <x:c r="H306" s="70" t="str">
        <x:v>INSUMO_O_SUBRECETA</x:v>
      </x:c>
      <x:c r="I306" s="70" t="str">
        <x:v>SI</x:v>
      </x:c>
      <x:c r="J306" s="70" t="str">
        <x:v>AL_PREPARAR</x:v>
      </x:c>
      <x:c r="K306" s="71" t="str"/>
    </x:row>
    <x:row r="307">
      <x:c r="A307" s="69" t="str">
        <x:v>SUN-MNM-270</x:v>
      </x:c>
      <x:c r="B307" s="70" t="str">
        <x:v>Sundae MOMOS M&amp;M</x:v>
      </x:c>
      <x:c r="C307" s="70" t="str">
        <x:v>BASE-MOUSSE-MNM</x:v>
      </x:c>
      <x:c r="D307" s="70" t="str">
        <x:v>Mousse congelada M&amp;M</x:v>
      </x:c>
      <x:c r="E307" s="114" t="n">
        <x:v>0.125</x:v>
      </x:c>
      <x:c r="F307" s="114" t="str">
        <x:v>kg</x:v>
      </x:c>
      <x:c r="G307" s="114" t="n">
        <x:v>0.125</x:v>
      </x:c>
      <x:c r="H307" s="70" t="str">
        <x:v>SUBRECETA</x:v>
      </x:c>
      <x:c r="I307" s="70" t="str">
        <x:v>SI</x:v>
      </x:c>
      <x:c r="J307" s="70" t="str">
        <x:v>AL_PREPARAR</x:v>
      </x:c>
      <x:c r="K307" s="71" t="str"/>
    </x:row>
    <x:row r="308">
      <x:c r="A308" s="69" t="str">
        <x:v>SUN-MNM-270</x:v>
      </x:c>
      <x:c r="B308" s="70" t="str">
        <x:v>Sundae MOMOS M&amp;M</x:v>
      </x:c>
      <x:c r="C308" s="70" t="str">
        <x:v>BASE-CHEESECAKE-NEUTRO</x:v>
      </x:c>
      <x:c r="D308" s="70" t="str">
        <x:v>Cheesecake/crema</x:v>
      </x:c>
      <x:c r="E308" s="114" t="n">
        <x:v>0.04</x:v>
      </x:c>
      <x:c r="F308" s="114" t="str">
        <x:v>kg</x:v>
      </x:c>
      <x:c r="G308" s="114" t="n">
        <x:v>0.04</x:v>
      </x:c>
      <x:c r="H308" s="70" t="str">
        <x:v>SUBRECETA</x:v>
      </x:c>
      <x:c r="I308" s="70" t="str">
        <x:v>SI</x:v>
      </x:c>
      <x:c r="J308" s="70" t="str">
        <x:v>AL_PREPARAR</x:v>
      </x:c>
      <x:c r="K308" s="71" t="str"/>
    </x:row>
    <x:row r="309">
      <x:c r="A309" s="69" t="str">
        <x:v>SUN-MNM-270</x:v>
      </x:c>
      <x:c r="B309" s="70" t="str">
        <x:v>Sundae MOMOS M&amp;M</x:v>
      </x:c>
      <x:c r="C309" s="70" t="str">
        <x:v>BASE-SALSA-CHOCOLATE</x:v>
      </x:c>
      <x:c r="D309" s="70" t="str">
        <x:v>Salsa/ganache M&amp;M</x:v>
      </x:c>
      <x:c r="E309" s="114" t="n">
        <x:v>0.04</x:v>
      </x:c>
      <x:c r="F309" s="114" t="str">
        <x:v>kg</x:v>
      </x:c>
      <x:c r="G309" s="114" t="n">
        <x:v>0.04</x:v>
      </x:c>
      <x:c r="H309" s="70" t="str">
        <x:v>SUBRECETA</x:v>
      </x:c>
      <x:c r="I309" s="70" t="str">
        <x:v>SI</x:v>
      </x:c>
      <x:c r="J309" s="70" t="str">
        <x:v>AL_PREPARAR</x:v>
      </x:c>
      <x:c r="K309" s="71" t="str"/>
    </x:row>
    <x:row r="310">
      <x:c r="A310" s="69" t="str">
        <x:v>SUN-MNM-270</x:v>
      </x:c>
      <x:c r="B310" s="70" t="str">
        <x:v>Sundae MOMOS M&amp;M</x:v>
      </x:c>
      <x:c r="C310" s="70" t="str">
        <x:v>BASE-CROCANTE-CHOCOLATE</x:v>
      </x:c>
      <x:c r="D310" s="70" t="str">
        <x:v>Crocante/galleta</x:v>
      </x:c>
      <x:c r="E310" s="114" t="n">
        <x:v>0.03</x:v>
      </x:c>
      <x:c r="F310" s="114" t="str">
        <x:v>kg</x:v>
      </x:c>
      <x:c r="G310" s="114" t="n">
        <x:v>0.03</x:v>
      </x:c>
      <x:c r="H310" s="70" t="str">
        <x:v>SUBRECETA</x:v>
      </x:c>
      <x:c r="I310" s="70" t="str">
        <x:v>SI</x:v>
      </x:c>
      <x:c r="J310" s="70" t="str">
        <x:v>AL_PREPARAR</x:v>
      </x:c>
      <x:c r="K310" s="71" t="str"/>
    </x:row>
    <x:row r="311">
      <x:c r="A311" s="69" t="str">
        <x:v>SUN-MNM-270</x:v>
      </x:c>
      <x:c r="B311" s="70" t="str">
        <x:v>Sundae MOMOS M&amp;M</x:v>
      </x:c>
      <x:c r="C311" s="70" t="str">
        <x:v>INS-MNM</x:v>
      </x:c>
      <x:c r="D311" s="70" t="str">
        <x:v>Fruta o inclusión M&amp;M</x:v>
      </x:c>
      <x:c r="E311" s="114" t="n">
        <x:v>0.02</x:v>
      </x:c>
      <x:c r="F311" s="114" t="str">
        <x:v>kg</x:v>
      </x:c>
      <x:c r="G311" s="114" t="n">
        <x:v>0.02</x:v>
      </x:c>
      <x:c r="H311" s="70" t="str">
        <x:v>INSUMO_O_SUBRECETA</x:v>
      </x:c>
      <x:c r="I311" s="70" t="str">
        <x:v>SI</x:v>
      </x:c>
      <x:c r="J311" s="70" t="str">
        <x:v>AL_PREPARAR</x:v>
      </x:c>
      <x:c r="K311" s="71" t="str"/>
    </x:row>
    <x:row r="312">
      <x:c r="A312" s="69" t="str">
        <x:v>SUN-MNM-270</x:v>
      </x:c>
      <x:c r="B312" s="70" t="str">
        <x:v>Sundae MOMOS M&amp;M</x:v>
      </x:c>
      <x:c r="C312" s="70" t="str">
        <x:v>TOP-MNM</x:v>
      </x:c>
      <x:c r="D312" s="70" t="str">
        <x:v>Topping M&amp;M</x:v>
      </x:c>
      <x:c r="E312" s="114" t="n">
        <x:v>0.015</x:v>
      </x:c>
      <x:c r="F312" s="114" t="str">
        <x:v>kg</x:v>
      </x:c>
      <x:c r="G312" s="114" t="n">
        <x:v>0.015</x:v>
      </x:c>
      <x:c r="H312" s="70" t="str">
        <x:v>INSUMO_O_SUBRECETA</x:v>
      </x:c>
      <x:c r="I312" s="70" t="str">
        <x:v>SI</x:v>
      </x:c>
      <x:c r="J312" s="70" t="str">
        <x:v>AL_PREPARAR</x:v>
      </x:c>
      <x:c r="K312" s="71" t="str"/>
    </x:row>
    <x:row r="313">
      <x:c r="A313" s="69" t="str">
        <x:v>SUN-ORE-270</x:v>
      </x:c>
      <x:c r="B313" s="70" t="str">
        <x:v>Sundae MOMOS Oreo</x:v>
      </x:c>
      <x:c r="C313" s="70" t="str">
        <x:v>BASE-MOUSSE-OREO</x:v>
      </x:c>
      <x:c r="D313" s="70" t="str">
        <x:v>Mousse congelada Oreo</x:v>
      </x:c>
      <x:c r="E313" s="114" t="n">
        <x:v>0.125</x:v>
      </x:c>
      <x:c r="F313" s="114" t="str">
        <x:v>kg</x:v>
      </x:c>
      <x:c r="G313" s="114" t="n">
        <x:v>0.125</x:v>
      </x:c>
      <x:c r="H313" s="70" t="str">
        <x:v>SUBRECETA</x:v>
      </x:c>
      <x:c r="I313" s="70" t="str">
        <x:v>SI</x:v>
      </x:c>
      <x:c r="J313" s="70" t="str">
        <x:v>AL_PREPARAR</x:v>
      </x:c>
      <x:c r="K313" s="71" t="str"/>
    </x:row>
    <x:row r="314">
      <x:c r="A314" s="69" t="str">
        <x:v>SUN-ORE-270</x:v>
      </x:c>
      <x:c r="B314" s="70" t="str">
        <x:v>Sundae MOMOS Oreo</x:v>
      </x:c>
      <x:c r="C314" s="70" t="str">
        <x:v>BASE-CHEESECAKE-NEUTRO</x:v>
      </x:c>
      <x:c r="D314" s="70" t="str">
        <x:v>Cheesecake/crema</x:v>
      </x:c>
      <x:c r="E314" s="114" t="n">
        <x:v>0.04</x:v>
      </x:c>
      <x:c r="F314" s="114" t="str">
        <x:v>kg</x:v>
      </x:c>
      <x:c r="G314" s="114" t="n">
        <x:v>0.04</x:v>
      </x:c>
      <x:c r="H314" s="70" t="str">
        <x:v>SUBRECETA</x:v>
      </x:c>
      <x:c r="I314" s="70" t="str">
        <x:v>SI</x:v>
      </x:c>
      <x:c r="J314" s="70" t="str">
        <x:v>AL_PREPARAR</x:v>
      </x:c>
      <x:c r="K314" s="71" t="str"/>
    </x:row>
    <x:row r="315">
      <x:c r="A315" s="69" t="str">
        <x:v>SUN-ORE-270</x:v>
      </x:c>
      <x:c r="B315" s="70" t="str">
        <x:v>Sundae MOMOS Oreo</x:v>
      </x:c>
      <x:c r="C315" s="70" t="str">
        <x:v>BASE-SALSA-CHOCOLATE</x:v>
      </x:c>
      <x:c r="D315" s="70" t="str">
        <x:v>Salsa/ganache Oreo</x:v>
      </x:c>
      <x:c r="E315" s="114" t="n">
        <x:v>0.04</x:v>
      </x:c>
      <x:c r="F315" s="114" t="str">
        <x:v>kg</x:v>
      </x:c>
      <x:c r="G315" s="114" t="n">
        <x:v>0.04</x:v>
      </x:c>
      <x:c r="H315" s="70" t="str">
        <x:v>SUBRECETA</x:v>
      </x:c>
      <x:c r="I315" s="70" t="str">
        <x:v>SI</x:v>
      </x:c>
      <x:c r="J315" s="70" t="str">
        <x:v>AL_PREPARAR</x:v>
      </x:c>
      <x:c r="K315" s="71" t="str"/>
    </x:row>
    <x:row r="316">
      <x:c r="A316" s="69" t="str">
        <x:v>SUN-ORE-270</x:v>
      </x:c>
      <x:c r="B316" s="70" t="str">
        <x:v>Sundae MOMOS Oreo</x:v>
      </x:c>
      <x:c r="C316" s="70" t="str">
        <x:v>BASE-CROCANTE-OREO</x:v>
      </x:c>
      <x:c r="D316" s="70" t="str">
        <x:v>Crocante/galleta</x:v>
      </x:c>
      <x:c r="E316" s="114" t="n">
        <x:v>0.03</x:v>
      </x:c>
      <x:c r="F316" s="114" t="str">
        <x:v>kg</x:v>
      </x:c>
      <x:c r="G316" s="114" t="n">
        <x:v>0.03</x:v>
      </x:c>
      <x:c r="H316" s="70" t="str">
        <x:v>SUBRECETA</x:v>
      </x:c>
      <x:c r="I316" s="70" t="str">
        <x:v>SI</x:v>
      </x:c>
      <x:c r="J316" s="70" t="str">
        <x:v>AL_PREPARAR</x:v>
      </x:c>
      <x:c r="K316" s="71" t="str"/>
    </x:row>
    <x:row r="317">
      <x:c r="A317" s="69" t="str">
        <x:v>SUN-ORE-270</x:v>
      </x:c>
      <x:c r="B317" s="70" t="str">
        <x:v>Sundae MOMOS Oreo</x:v>
      </x:c>
      <x:c r="C317" s="70" t="str">
        <x:v>INS-OREO-TRITURADA</x:v>
      </x:c>
      <x:c r="D317" s="70" t="str">
        <x:v>Fruta o inclusión Oreo</x:v>
      </x:c>
      <x:c r="E317" s="114" t="n">
        <x:v>0.02</x:v>
      </x:c>
      <x:c r="F317" s="114" t="str">
        <x:v>kg</x:v>
      </x:c>
      <x:c r="G317" s="114" t="n">
        <x:v>0.02</x:v>
      </x:c>
      <x:c r="H317" s="70" t="str">
        <x:v>INSUMO_O_SUBRECETA</x:v>
      </x:c>
      <x:c r="I317" s="70" t="str">
        <x:v>SI</x:v>
      </x:c>
      <x:c r="J317" s="70" t="str">
        <x:v>AL_PREPARAR</x:v>
      </x:c>
      <x:c r="K317" s="71" t="str"/>
    </x:row>
    <x:row r="318">
      <x:c r="A318" s="69" t="str">
        <x:v>SUN-ORE-270</x:v>
      </x:c>
      <x:c r="B318" s="70" t="str">
        <x:v>Sundae MOMOS Oreo</x:v>
      </x:c>
      <x:c r="C318" s="70" t="str">
        <x:v>TOP-OREO-TRITURADA</x:v>
      </x:c>
      <x:c r="D318" s="70" t="str">
        <x:v>Topping Oreo</x:v>
      </x:c>
      <x:c r="E318" s="114" t="n">
        <x:v>0.015</x:v>
      </x:c>
      <x:c r="F318" s="114" t="str">
        <x:v>kg</x:v>
      </x:c>
      <x:c r="G318" s="114" t="n">
        <x:v>0.015</x:v>
      </x:c>
      <x:c r="H318" s="70" t="str">
        <x:v>INSUMO_O_SUBRECETA</x:v>
      </x:c>
      <x:c r="I318" s="70" t="str">
        <x:v>SI</x:v>
      </x:c>
      <x:c r="J318" s="70" t="str">
        <x:v>AL_PREPARAR</x:v>
      </x:c>
      <x:c r="K318" s="71" t="str"/>
    </x:row>
    <x:row r="319">
      <x:c r="A319" s="69" t="str">
        <x:v>SUN-CSL-270</x:v>
      </x:c>
      <x:c r="B319" s="70" t="str">
        <x:v>Sundae MOMOS Caramelo salado</x:v>
      </x:c>
      <x:c r="C319" s="70" t="str">
        <x:v>BASE-MOUSSE-CARAMELO-SALADO</x:v>
      </x:c>
      <x:c r="D319" s="70" t="str">
        <x:v>Mousse congelada Caramelo salado</x:v>
      </x:c>
      <x:c r="E319" s="114" t="n">
        <x:v>0.125</x:v>
      </x:c>
      <x:c r="F319" s="114" t="str">
        <x:v>kg</x:v>
      </x:c>
      <x:c r="G319" s="114" t="n">
        <x:v>0.125</x:v>
      </x:c>
      <x:c r="H319" s="70" t="str">
        <x:v>SUBRECETA</x:v>
      </x:c>
      <x:c r="I319" s="70" t="str">
        <x:v>SI</x:v>
      </x:c>
      <x:c r="J319" s="70" t="str">
        <x:v>AL_PREPARAR</x:v>
      </x:c>
      <x:c r="K319" s="71" t="str"/>
    </x:row>
    <x:row r="320">
      <x:c r="A320" s="69" t="str">
        <x:v>SUN-CSL-270</x:v>
      </x:c>
      <x:c r="B320" s="70" t="str">
        <x:v>Sundae MOMOS Caramelo salado</x:v>
      </x:c>
      <x:c r="C320" s="70" t="str">
        <x:v>BASE-CHEESECAKE-NEUTRO</x:v>
      </x:c>
      <x:c r="D320" s="70" t="str">
        <x:v>Cheesecake/crema</x:v>
      </x:c>
      <x:c r="E320" s="114" t="n">
        <x:v>0.04</x:v>
      </x:c>
      <x:c r="F320" s="114" t="str">
        <x:v>kg</x:v>
      </x:c>
      <x:c r="G320" s="114" t="n">
        <x:v>0.04</x:v>
      </x:c>
      <x:c r="H320" s="70" t="str">
        <x:v>SUBRECETA</x:v>
      </x:c>
      <x:c r="I320" s="70" t="str">
        <x:v>SI</x:v>
      </x:c>
      <x:c r="J320" s="70" t="str">
        <x:v>AL_PREPARAR</x:v>
      </x:c>
      <x:c r="K320" s="71" t="str"/>
    </x:row>
    <x:row r="321">
      <x:c r="A321" s="69" t="str">
        <x:v>SUN-CSL-270</x:v>
      </x:c>
      <x:c r="B321" s="70" t="str">
        <x:v>Sundae MOMOS Caramelo salado</x:v>
      </x:c>
      <x:c r="C321" s="70" t="str">
        <x:v>BASE-CARAMELO-SALADO</x:v>
      </x:c>
      <x:c r="D321" s="70" t="str">
        <x:v>Salsa/ganache Caramelo salado</x:v>
      </x:c>
      <x:c r="E321" s="114" t="n">
        <x:v>0.04</x:v>
      </x:c>
      <x:c r="F321" s="114" t="str">
        <x:v>kg</x:v>
      </x:c>
      <x:c r="G321" s="114" t="n">
        <x:v>0.04</x:v>
      </x:c>
      <x:c r="H321" s="70" t="str">
        <x:v>SUBRECETA</x:v>
      </x:c>
      <x:c r="I321" s="70" t="str">
        <x:v>SI</x:v>
      </x:c>
      <x:c r="J321" s="70" t="str">
        <x:v>AL_PREPARAR</x:v>
      </x:c>
      <x:c r="K321" s="71" t="str"/>
    </x:row>
    <x:row r="322">
      <x:c r="A322" s="69" t="str">
        <x:v>SUN-CSL-270</x:v>
      </x:c>
      <x:c r="B322" s="70" t="str">
        <x:v>Sundae MOMOS Caramelo salado</x:v>
      </x:c>
      <x:c r="C322" s="70" t="str">
        <x:v>BASE-CROCANTE-SALTIN</x:v>
      </x:c>
      <x:c r="D322" s="70" t="str">
        <x:v>Crocante/galleta</x:v>
      </x:c>
      <x:c r="E322" s="114" t="n">
        <x:v>0.03</x:v>
      </x:c>
      <x:c r="F322" s="114" t="str">
        <x:v>kg</x:v>
      </x:c>
      <x:c r="G322" s="114" t="n">
        <x:v>0.03</x:v>
      </x:c>
      <x:c r="H322" s="70" t="str">
        <x:v>SUBRECETA</x:v>
      </x:c>
      <x:c r="I322" s="70" t="str">
        <x:v>SI</x:v>
      </x:c>
      <x:c r="J322" s="70" t="str">
        <x:v>AL_PREPARAR</x:v>
      </x:c>
      <x:c r="K322" s="71" t="str"/>
    </x:row>
    <x:row r="323">
      <x:c r="A323" s="69" t="str">
        <x:v>SUN-CSL-270</x:v>
      </x:c>
      <x:c r="B323" s="70" t="str">
        <x:v>Sundae MOMOS Caramelo salado</x:v>
      </x:c>
      <x:c r="C323" s="70" t="str">
        <x:v>BASE-CARAMELO-SALADO</x:v>
      </x:c>
      <x:c r="D323" s="70" t="str">
        <x:v>Fruta o inclusión Caramelo salado</x:v>
      </x:c>
      <x:c r="E323" s="114" t="n">
        <x:v>0.02</x:v>
      </x:c>
      <x:c r="F323" s="114" t="str">
        <x:v>kg</x:v>
      </x:c>
      <x:c r="G323" s="114" t="n">
        <x:v>0.02</x:v>
      </x:c>
      <x:c r="H323" s="70" t="str">
        <x:v>INSUMO_O_SUBRECETA</x:v>
      </x:c>
      <x:c r="I323" s="70" t="str">
        <x:v>SI</x:v>
      </x:c>
      <x:c r="J323" s="70" t="str">
        <x:v>AL_PREPARAR</x:v>
      </x:c>
      <x:c r="K323" s="71" t="str"/>
    </x:row>
    <x:row r="324">
      <x:c r="A324" s="69" t="str">
        <x:v>SUN-CSL-270</x:v>
      </x:c>
      <x:c r="B324" s="70" t="str">
        <x:v>Sundae MOMOS Caramelo salado</x:v>
      </x:c>
      <x:c r="C324" s="70" t="str">
        <x:v>TOP-CROCANTE-CARAMELO</x:v>
      </x:c>
      <x:c r="D324" s="70" t="str">
        <x:v>Topping Caramelo salado</x:v>
      </x:c>
      <x:c r="E324" s="114" t="n">
        <x:v>0.015</x:v>
      </x:c>
      <x:c r="F324" s="114" t="str">
        <x:v>kg</x:v>
      </x:c>
      <x:c r="G324" s="114" t="n">
        <x:v>0.015</x:v>
      </x:c>
      <x:c r="H324" s="70" t="str">
        <x:v>INSUMO_O_SUBRECETA</x:v>
      </x:c>
      <x:c r="I324" s="70" t="str">
        <x:v>SI</x:v>
      </x:c>
      <x:c r="J324" s="70" t="str">
        <x:v>AL_PREPARAR</x:v>
      </x:c>
      <x:c r="K324" s="71" t="str"/>
    </x:row>
    <x:row r="325">
      <x:c r="A325" s="69" t="str">
        <x:v>SUN-NUT-270</x:v>
      </x:c>
      <x:c r="B325" s="70" t="str">
        <x:v>Sundae MOMOS Nutella</x:v>
      </x:c>
      <x:c r="C325" s="70" t="str">
        <x:v>BASE-MOUSSE-NUTELLA</x:v>
      </x:c>
      <x:c r="D325" s="70" t="str">
        <x:v>Mousse congelada Nutella</x:v>
      </x:c>
      <x:c r="E325" s="114" t="n">
        <x:v>0.125</x:v>
      </x:c>
      <x:c r="F325" s="114" t="str">
        <x:v>kg</x:v>
      </x:c>
      <x:c r="G325" s="114" t="n">
        <x:v>0.125</x:v>
      </x:c>
      <x:c r="H325" s="70" t="str">
        <x:v>SUBRECETA</x:v>
      </x:c>
      <x:c r="I325" s="70" t="str">
        <x:v>SI</x:v>
      </x:c>
      <x:c r="J325" s="70" t="str">
        <x:v>AL_PREPARAR</x:v>
      </x:c>
      <x:c r="K325" s="71" t="str"/>
    </x:row>
    <x:row r="326">
      <x:c r="A326" s="69" t="str">
        <x:v>SUN-NUT-270</x:v>
      </x:c>
      <x:c r="B326" s="70" t="str">
        <x:v>Sundae MOMOS Nutella</x:v>
      </x:c>
      <x:c r="C326" s="70" t="str">
        <x:v>BASE-CHEESECAKE-NEUTRO</x:v>
      </x:c>
      <x:c r="D326" s="70" t="str">
        <x:v>Cheesecake/crema</x:v>
      </x:c>
      <x:c r="E326" s="114" t="n">
        <x:v>0.04</x:v>
      </x:c>
      <x:c r="F326" s="114" t="str">
        <x:v>kg</x:v>
      </x:c>
      <x:c r="G326" s="114" t="n">
        <x:v>0.04</x:v>
      </x:c>
      <x:c r="H326" s="70" t="str">
        <x:v>SUBRECETA</x:v>
      </x:c>
      <x:c r="I326" s="70" t="str">
        <x:v>SI</x:v>
      </x:c>
      <x:c r="J326" s="70" t="str">
        <x:v>AL_PREPARAR</x:v>
      </x:c>
      <x:c r="K326" s="71" t="str"/>
    </x:row>
    <x:row r="327">
      <x:c r="A327" s="69" t="str">
        <x:v>SUN-NUT-270</x:v>
      </x:c>
      <x:c r="B327" s="70" t="str">
        <x:v>Sundae MOMOS Nutella</x:v>
      </x:c>
      <x:c r="C327" s="70" t="str">
        <x:v>BASE-SALSA-NUTELLA</x:v>
      </x:c>
      <x:c r="D327" s="70" t="str">
        <x:v>Salsa/ganache Nutella</x:v>
      </x:c>
      <x:c r="E327" s="114" t="n">
        <x:v>0.04</x:v>
      </x:c>
      <x:c r="F327" s="114" t="str">
        <x:v>kg</x:v>
      </x:c>
      <x:c r="G327" s="114" t="n">
        <x:v>0.04</x:v>
      </x:c>
      <x:c r="H327" s="70" t="str">
        <x:v>SUBRECETA</x:v>
      </x:c>
      <x:c r="I327" s="70" t="str">
        <x:v>SI</x:v>
      </x:c>
      <x:c r="J327" s="70" t="str">
        <x:v>AL_PREPARAR</x:v>
      </x:c>
      <x:c r="K327" s="71" t="str"/>
    </x:row>
    <x:row r="328">
      <x:c r="A328" s="69" t="str">
        <x:v>SUN-NUT-270</x:v>
      </x:c>
      <x:c r="B328" s="70" t="str">
        <x:v>Sundae MOMOS Nutella</x:v>
      </x:c>
      <x:c r="C328" s="70" t="str">
        <x:v>BASE-CROCANTE-CHOCOLATE</x:v>
      </x:c>
      <x:c r="D328" s="70" t="str">
        <x:v>Crocante/galleta</x:v>
      </x:c>
      <x:c r="E328" s="114" t="n">
        <x:v>0.03</x:v>
      </x:c>
      <x:c r="F328" s="114" t="str">
        <x:v>kg</x:v>
      </x:c>
      <x:c r="G328" s="114" t="n">
        <x:v>0.03</x:v>
      </x:c>
      <x:c r="H328" s="70" t="str">
        <x:v>SUBRECETA</x:v>
      </x:c>
      <x:c r="I328" s="70" t="str">
        <x:v>SI</x:v>
      </x:c>
      <x:c r="J328" s="70" t="str">
        <x:v>AL_PREPARAR</x:v>
      </x:c>
      <x:c r="K328" s="71" t="str"/>
    </x:row>
    <x:row r="329">
      <x:c r="A329" s="69" t="str">
        <x:v>SUN-NUT-270</x:v>
      </x:c>
      <x:c r="B329" s="70" t="str">
        <x:v>Sundae MOMOS Nutella</x:v>
      </x:c>
      <x:c r="C329" s="70" t="str">
        <x:v>INS-NUTELLA</x:v>
      </x:c>
      <x:c r="D329" s="70" t="str">
        <x:v>Fruta o inclusión Nutella</x:v>
      </x:c>
      <x:c r="E329" s="114" t="n">
        <x:v>0.02</x:v>
      </x:c>
      <x:c r="F329" s="114" t="str">
        <x:v>kg</x:v>
      </x:c>
      <x:c r="G329" s="114" t="n">
        <x:v>0.02</x:v>
      </x:c>
      <x:c r="H329" s="70" t="str">
        <x:v>INSUMO_O_SUBRECETA</x:v>
      </x:c>
      <x:c r="I329" s="70" t="str">
        <x:v>SI</x:v>
      </x:c>
      <x:c r="J329" s="70" t="str">
        <x:v>AL_PREPARAR</x:v>
      </x:c>
      <x:c r="K329" s="71" t="str"/>
    </x:row>
    <x:row r="330">
      <x:c r="A330" s="69" t="str">
        <x:v>SUN-NUT-270</x:v>
      </x:c>
      <x:c r="B330" s="70" t="str">
        <x:v>Sundae MOMOS Nutella</x:v>
      </x:c>
      <x:c r="C330" s="70" t="str">
        <x:v>TOP-AVELLANA</x:v>
      </x:c>
      <x:c r="D330" s="70" t="str">
        <x:v>Topping Nutella</x:v>
      </x:c>
      <x:c r="E330" s="114" t="n">
        <x:v>0.015</x:v>
      </x:c>
      <x:c r="F330" s="114" t="str">
        <x:v>kg</x:v>
      </x:c>
      <x:c r="G330" s="114" t="n">
        <x:v>0.015</x:v>
      </x:c>
      <x:c r="H330" s="70" t="str">
        <x:v>INSUMO_O_SUBRECETA</x:v>
      </x:c>
      <x:c r="I330" s="70" t="str">
        <x:v>SI</x:v>
      </x:c>
      <x:c r="J330" s="70" t="str">
        <x:v>AL_PREPARAR</x:v>
      </x:c>
      <x:c r="K330" s="71" t="str"/>
    </x:row>
    <x:row r="331">
      <x:c r="A331" s="69" t="str">
        <x:v>SUN-MIL-270</x:v>
      </x:c>
      <x:c r="B331" s="70" t="str">
        <x:v>Sundae MOMOS Milo</x:v>
      </x:c>
      <x:c r="C331" s="70" t="str">
        <x:v>BASE-MOUSSE-MILO</x:v>
      </x:c>
      <x:c r="D331" s="70" t="str">
        <x:v>Mousse congelada Milo</x:v>
      </x:c>
      <x:c r="E331" s="114" t="n">
        <x:v>0.125</x:v>
      </x:c>
      <x:c r="F331" s="114" t="str">
        <x:v>kg</x:v>
      </x:c>
      <x:c r="G331" s="114" t="n">
        <x:v>0.125</x:v>
      </x:c>
      <x:c r="H331" s="70" t="str">
        <x:v>SUBRECETA</x:v>
      </x:c>
      <x:c r="I331" s="70" t="str">
        <x:v>SI</x:v>
      </x:c>
      <x:c r="J331" s="70" t="str">
        <x:v>AL_PREPARAR</x:v>
      </x:c>
      <x:c r="K331" s="71" t="str"/>
    </x:row>
    <x:row r="332">
      <x:c r="A332" s="69" t="str">
        <x:v>SUN-MIL-270</x:v>
      </x:c>
      <x:c r="B332" s="70" t="str">
        <x:v>Sundae MOMOS Milo</x:v>
      </x:c>
      <x:c r="C332" s="70" t="str">
        <x:v>BASE-CHEESECAKE-NEUTRO</x:v>
      </x:c>
      <x:c r="D332" s="70" t="str">
        <x:v>Cheesecake/crema</x:v>
      </x:c>
      <x:c r="E332" s="114" t="n">
        <x:v>0.04</x:v>
      </x:c>
      <x:c r="F332" s="114" t="str">
        <x:v>kg</x:v>
      </x:c>
      <x:c r="G332" s="114" t="n">
        <x:v>0.04</x:v>
      </x:c>
      <x:c r="H332" s="70" t="str">
        <x:v>SUBRECETA</x:v>
      </x:c>
      <x:c r="I332" s="70" t="str">
        <x:v>SI</x:v>
      </x:c>
      <x:c r="J332" s="70" t="str">
        <x:v>AL_PREPARAR</x:v>
      </x:c>
      <x:c r="K332" s="71" t="str"/>
    </x:row>
    <x:row r="333">
      <x:c r="A333" s="69" t="str">
        <x:v>SUN-MIL-270</x:v>
      </x:c>
      <x:c r="B333" s="70" t="str">
        <x:v>Sundae MOMOS Milo</x:v>
      </x:c>
      <x:c r="C333" s="70" t="str">
        <x:v>BASE-SALSA-CHOCOLATE</x:v>
      </x:c>
      <x:c r="D333" s="70" t="str">
        <x:v>Salsa/ganache Milo</x:v>
      </x:c>
      <x:c r="E333" s="114" t="n">
        <x:v>0.04</x:v>
      </x:c>
      <x:c r="F333" s="114" t="str">
        <x:v>kg</x:v>
      </x:c>
      <x:c r="G333" s="114" t="n">
        <x:v>0.04</x:v>
      </x:c>
      <x:c r="H333" s="70" t="str">
        <x:v>SUBRECETA</x:v>
      </x:c>
      <x:c r="I333" s="70" t="str">
        <x:v>SI</x:v>
      </x:c>
      <x:c r="J333" s="70" t="str">
        <x:v>AL_PREPARAR</x:v>
      </x:c>
      <x:c r="K333" s="71" t="str"/>
    </x:row>
    <x:row r="334">
      <x:c r="A334" s="69" t="str">
        <x:v>SUN-MIL-270</x:v>
      </x:c>
      <x:c r="B334" s="70" t="str">
        <x:v>Sundae MOMOS Milo</x:v>
      </x:c>
      <x:c r="C334" s="70" t="str">
        <x:v>BASE-CROCANTE-CHOCOLATE</x:v>
      </x:c>
      <x:c r="D334" s="70" t="str">
        <x:v>Crocante/galleta</x:v>
      </x:c>
      <x:c r="E334" s="114" t="n">
        <x:v>0.03</x:v>
      </x:c>
      <x:c r="F334" s="114" t="str">
        <x:v>kg</x:v>
      </x:c>
      <x:c r="G334" s="114" t="n">
        <x:v>0.03</x:v>
      </x:c>
      <x:c r="H334" s="70" t="str">
        <x:v>SUBRECETA</x:v>
      </x:c>
      <x:c r="I334" s="70" t="str">
        <x:v>SI</x:v>
      </x:c>
      <x:c r="J334" s="70" t="str">
        <x:v>AL_PREPARAR</x:v>
      </x:c>
      <x:c r="K334" s="71" t="str"/>
    </x:row>
    <x:row r="335">
      <x:c r="A335" s="69" t="str">
        <x:v>SUN-MIL-270</x:v>
      </x:c>
      <x:c r="B335" s="70" t="str">
        <x:v>Sundae MOMOS Milo</x:v>
      </x:c>
      <x:c r="C335" s="70" t="str">
        <x:v>INS-MILO</x:v>
      </x:c>
      <x:c r="D335" s="70" t="str">
        <x:v>Fruta o inclusión Milo</x:v>
      </x:c>
      <x:c r="E335" s="114" t="n">
        <x:v>0.02</x:v>
      </x:c>
      <x:c r="F335" s="114" t="str">
        <x:v>kg</x:v>
      </x:c>
      <x:c r="G335" s="114" t="n">
        <x:v>0.02</x:v>
      </x:c>
      <x:c r="H335" s="70" t="str">
        <x:v>INSUMO_O_SUBRECETA</x:v>
      </x:c>
      <x:c r="I335" s="70" t="str">
        <x:v>SI</x:v>
      </x:c>
      <x:c r="J335" s="70" t="str">
        <x:v>AL_PREPARAR</x:v>
      </x:c>
      <x:c r="K335" s="71" t="str"/>
    </x:row>
    <x:row r="336">
      <x:c r="A336" s="72" t="str">
        <x:v>SUN-MIL-270</x:v>
      </x:c>
      <x:c r="B336" s="73" t="str">
        <x:v>Sundae MOMOS Milo</x:v>
      </x:c>
      <x:c r="C336" s="73" t="str">
        <x:v>TOP-MILO</x:v>
      </x:c>
      <x:c r="D336" s="73" t="str">
        <x:v>Topping Milo</x:v>
      </x:c>
      <x:c r="E336" s="115" t="n">
        <x:v>0.015</x:v>
      </x:c>
      <x:c r="F336" s="115" t="str">
        <x:v>kg</x:v>
      </x:c>
      <x:c r="G336" s="115" t="n">
        <x:v>0.015</x:v>
      </x:c>
      <x:c r="H336" s="73" t="str">
        <x:v>INSUMO_O_SUBRECETA</x:v>
      </x:c>
      <x:c r="I336" s="73" t="str">
        <x:v>SI</x:v>
      </x:c>
      <x:c r="J336" s="73" t="str">
        <x:v>AL_PREPARAR</x:v>
      </x:c>
      <x:c r="K336" s="74" t="str"/>
    </x:row>
  </x:sheetData>
  <x:pageMargins left="0.7" right="0.7" top="0.75" bottom="0.75" header="0.3" footer="0.3"/>
  <x:tableParts count="1">
    <x:tablePart xmlns:r="http://schemas.openxmlformats.org/officeDocument/2006/relationships" r:id="Reb729c8c7d3449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95" hidden="0" customWidth="1"/>
  </x:cols>
  <x:sheetData>
    <x:row r="1">
      <x:c r="A1" s="42" t="str">
        <x:v>Código ruta</x:v>
      </x:c>
      <x:c r="B1" s="42" t="str">
        <x:v>Orden</x:v>
      </x:c>
      <x:c r="C1" s="42" t="str">
        <x:v>Código paso</x:v>
      </x:c>
      <x:c r="D1" s="42" t="str">
        <x:v>Descripción</x:v>
      </x:c>
    </x:row>
    <x:row r="2">
      <x:c r="A2" s="66" t="str">
        <x:v>R-MCK-CONG</x:v>
      </x:c>
      <x:c r="B2" s="67" t="n">
        <x:v>1</x:v>
      </x:c>
      <x:c r="C2" s="67" t="str">
        <x:v>VERIFICAR_COMPONENTES</x:v>
      </x:c>
      <x:c r="D2" s="68" t="str">
        <x:v>Confirmar mousse, cheesecake, ganache/salsa, crocante, topping y figurita disponibles.</x:v>
      </x:c>
    </x:row>
    <x:row r="3">
      <x:c r="A3" s="69" t="str">
        <x:v>R-MCK-CONG</x:v>
      </x:c>
      <x:c r="B3" s="70" t="n">
        <x:v>2</x:v>
      </x:c>
      <x:c r="C3" s="70" t="str">
        <x:v>FORMAR_BASE</x:v>
      </x:c>
      <x:c r="D3" s="71" t="str">
        <x:v>Dosificar y compactar el crocante en el molde o envase.</x:v>
      </x:c>
    </x:row>
    <x:row r="4">
      <x:c r="A4" s="69" t="str">
        <x:v>R-MCK-CONG</x:v>
      </x:c>
      <x:c r="B4" s="70" t="n">
        <x:v>3</x:v>
      </x:c>
      <x:c r="C4" s="70" t="str">
        <x:v>DOSIFICAR_MOUSSE_1</x:v>
      </x:c>
      <x:c r="D4" s="71" t="str">
        <x:v>Agregar primera capa de mousse.</x:v>
      </x:c>
    </x:row>
    <x:row r="5">
      <x:c r="A5" s="69" t="str">
        <x:v>R-MCK-CONG</x:v>
      </x:c>
      <x:c r="B5" s="70" t="n">
        <x:v>4</x:v>
      </x:c>
      <x:c r="C5" s="70" t="str">
        <x:v>AGREGAR_CENTRO</x:v>
      </x:c>
      <x:c r="D5" s="71" t="str">
        <x:v>Agregar cheesecake y ganache o el relleno definido.</x:v>
      </x:c>
    </x:row>
    <x:row r="6">
      <x:c r="A6" s="69" t="str">
        <x:v>R-MCK-CONG</x:v>
      </x:c>
      <x:c r="B6" s="70" t="n">
        <x:v>5</x:v>
      </x:c>
      <x:c r="C6" s="70" t="str">
        <x:v>CERRAR_MOUSSE</x:v>
      </x:c>
      <x:c r="D6" s="71" t="str">
        <x:v>Completar y nivelar con mousse.</x:v>
      </x:c>
    </x:row>
    <x:row r="7">
      <x:c r="A7" s="69" t="str">
        <x:v>R-MCK-CONG</x:v>
      </x:c>
      <x:c r="B7" s="70" t="n">
        <x:v>6</x:v>
      </x:c>
      <x:c r="C7" s="70" t="str">
        <x:v>CONGELAR</x:v>
      </x:c>
      <x:c r="D7" s="71" t="str">
        <x:v>Congelar 8 a 12 horas o hasta desmolde seguro.</x:v>
      </x:c>
    </x:row>
    <x:row r="8">
      <x:c r="A8" s="69" t="str">
        <x:v>R-MCK-CONG</x:v>
      </x:c>
      <x:c r="B8" s="70" t="n">
        <x:v>7</x:v>
      </x:c>
      <x:c r="C8" s="70" t="str">
        <x:v>DESMOLDAR</x:v>
      </x:c>
      <x:c r="D8" s="71" t="str">
        <x:v>Desmoldar completamente congelado.</x:v>
      </x:c>
    </x:row>
    <x:row r="9">
      <x:c r="A9" s="69" t="str">
        <x:v>R-MCK-CONG</x:v>
      </x:c>
      <x:c r="B9" s="70" t="n">
        <x:v>8</x:v>
      </x:c>
      <x:c r="C9" s="70" t="str">
        <x:v>DECORAR</x:v>
      </x:c>
      <x:c r="D9" s="71" t="str">
        <x:v>Aplicar salsa/cobertura y topping.</x:v>
      </x:c>
    </x:row>
    <x:row r="10">
      <x:c r="A10" s="69" t="str">
        <x:v>R-MCK-CONG</x:v>
      </x:c>
      <x:c r="B10" s="70" t="n">
        <x:v>9</x:v>
      </x:c>
      <x:c r="C10" s="70" t="str">
        <x:v>COLOCAR_FIGURA</x:v>
      </x:c>
      <x:c r="D10" s="71" t="str">
        <x:v>Colocar 1 figurita horizontal del sabor.</x:v>
      </x:c>
    </x:row>
    <x:row r="11">
      <x:c r="A11" s="69" t="str">
        <x:v>R-MCK-CONG</x:v>
      </x:c>
      <x:c r="B11" s="70" t="n">
        <x:v>10</x:v>
      </x:c>
      <x:c r="C11" s="70" t="str">
        <x:v>EMPACAR</x:v>
      </x:c>
      <x:c r="D11" s="71" t="str">
        <x:v>Empacar y etiquetar lote.</x:v>
      </x:c>
    </x:row>
    <x:row r="12">
      <x:c r="A12" s="69" t="str">
        <x:v>R-MCK-CONG</x:v>
      </x:c>
      <x:c r="B12" s="70" t="n">
        <x:v>11</x:v>
      </x:c>
      <x:c r="C12" s="70" t="str">
        <x:v>LIBERAR</x:v>
      </x:c>
      <x:c r="D12" s="71" t="str">
        <x:v>Liberar como disponible congelado.</x:v>
      </x:c>
    </x:row>
    <x:row r="13">
      <x:c r="A13" s="69" t="str">
        <x:v>R-CHK-REF</x:v>
      </x:c>
      <x:c r="B13" s="70" t="n">
        <x:v>1</x:v>
      </x:c>
      <x:c r="C13" s="70" t="str">
        <x:v>VERIFICAR_COMPONENTES</x:v>
      </x:c>
      <x:c r="D13" s="71" t="str">
        <x:v>Confirmar cheesecake, crocante, inclusión, salsa, topping y figurita.</x:v>
      </x:c>
    </x:row>
    <x:row r="14">
      <x:c r="A14" s="69" t="str">
        <x:v>R-CHK-REF</x:v>
      </x:c>
      <x:c r="B14" s="70" t="n">
        <x:v>2</x:v>
      </x:c>
      <x:c r="C14" s="70" t="str">
        <x:v>FORMAR_BASE</x:v>
      </x:c>
      <x:c r="D14" s="71" t="str">
        <x:v>Dosificar y compactar crocante en el envase.</x:v>
      </x:c>
    </x:row>
    <x:row r="15">
      <x:c r="A15" s="69" t="str">
        <x:v>R-CHK-REF</x:v>
      </x:c>
      <x:c r="B15" s="70" t="n">
        <x:v>3</x:v>
      </x:c>
      <x:c r="C15" s="70" t="str">
        <x:v>SABORIZAR_CHEESECAKE</x:v>
      </x:c>
      <x:c r="D15" s="71" t="str">
        <x:v>Mezclar cheesecake con la inclusión del sabor cuando aplique.</x:v>
      </x:c>
    </x:row>
    <x:row r="16">
      <x:c r="A16" s="69" t="str">
        <x:v>R-CHK-REF</x:v>
      </x:c>
      <x:c r="B16" s="70" t="n">
        <x:v>4</x:v>
      </x:c>
      <x:c r="C16" s="70" t="str">
        <x:v>DOSIFICAR</x:v>
      </x:c>
      <x:c r="D16" s="71" t="str">
        <x:v>Dosificar crema cheesecake sobre la base.</x:v>
      </x:c>
    </x:row>
    <x:row r="17">
      <x:c r="A17" s="69" t="str">
        <x:v>R-CHK-REF</x:v>
      </x:c>
      <x:c r="B17" s="70" t="n">
        <x:v>5</x:v>
      </x:c>
      <x:c r="C17" s="70" t="str">
        <x:v>ESTABILIZAR_REF</x:v>
      </x:c>
      <x:c r="D17" s="71" t="str">
        <x:v>Refrigerar hasta firmeza validada.</x:v>
      </x:c>
    </x:row>
    <x:row r="18">
      <x:c r="A18" s="69" t="str">
        <x:v>R-CHK-REF</x:v>
      </x:c>
      <x:c r="B18" s="70" t="n">
        <x:v>6</x:v>
      </x:c>
      <x:c r="C18" s="70" t="str">
        <x:v>DECORAR</x:v>
      </x:c>
      <x:c r="D18" s="71" t="str">
        <x:v>Aplicar salsa y topping.</x:v>
      </x:c>
    </x:row>
    <x:row r="19">
      <x:c r="A19" s="69" t="str">
        <x:v>R-CHK-REF</x:v>
      </x:c>
      <x:c r="B19" s="70" t="n">
        <x:v>7</x:v>
      </x:c>
      <x:c r="C19" s="70" t="str">
        <x:v>COLOCAR_FIGURA</x:v>
      </x:c>
      <x:c r="D19" s="71" t="str">
        <x:v>Colocar figurita congelada sobre barrera estable o cerca del despacho.</x:v>
      </x:c>
    </x:row>
    <x:row r="20">
      <x:c r="A20" s="69" t="str">
        <x:v>R-CHK-REF</x:v>
      </x:c>
      <x:c r="B20" s="70" t="n">
        <x:v>8</x:v>
      </x:c>
      <x:c r="C20" s="70" t="str">
        <x:v>EMPACAR</x:v>
      </x:c>
      <x:c r="D20" s="71" t="str">
        <x:v>Cerrar y etiquetar.</x:v>
      </x:c>
    </x:row>
    <x:row r="21">
      <x:c r="A21" s="69" t="str">
        <x:v>R-CHK-REF</x:v>
      </x:c>
      <x:c r="B21" s="70" t="n">
        <x:v>9</x:v>
      </x:c>
      <x:c r="C21" s="70" t="str">
        <x:v>LIBERAR</x:v>
      </x:c>
      <x:c r="D21" s="71" t="str">
        <x:v>Liberar como disponible refrigerado.</x:v>
      </x:c>
    </x:row>
    <x:row r="22">
      <x:c r="A22" s="69" t="str">
        <x:v>R-PAV-REF</x:v>
      </x:c>
      <x:c r="B22" s="70" t="n">
        <x:v>1</x:v>
      </x:c>
      <x:c r="C22" s="70" t="str">
        <x:v>VERIFICAR_COMPONENTES</x:v>
      </x:c>
      <x:c r="D22" s="71" t="str">
        <x:v>Confirmar crema, mousse, Saltín, salsa, topping y figurita.</x:v>
      </x:c>
    </x:row>
    <x:row r="23">
      <x:c r="A23" s="69" t="str">
        <x:v>R-PAV-REF</x:v>
      </x:c>
      <x:c r="B23" s="70" t="n">
        <x:v>2</x:v>
      </x:c>
      <x:c r="C23" s="70" t="str">
        <x:v>CAPA_CREMA</x:v>
      </x:c>
      <x:c r="D23" s="71" t="str">
        <x:v>Dosificar primera capa de crema cheesecake/pavé.</x:v>
      </x:c>
    </x:row>
    <x:row r="24">
      <x:c r="A24" s="69" t="str">
        <x:v>R-PAV-REF</x:v>
      </x:c>
      <x:c r="B24" s="70" t="n">
        <x:v>3</x:v>
      </x:c>
      <x:c r="C24" s="70" t="str">
        <x:v>CAPA_SALTIN</x:v>
      </x:c>
      <x:c r="D24" s="71" t="str">
        <x:v>Colocar galleta Saltín seca o ligeramente humedecida según ficha.</x:v>
      </x:c>
    </x:row>
    <x:row r="25">
      <x:c r="A25" s="69" t="str">
        <x:v>R-PAV-REF</x:v>
      </x:c>
      <x:c r="B25" s="70" t="n">
        <x:v>4</x:v>
      </x:c>
      <x:c r="C25" s="70" t="str">
        <x:v>CAPA_MOUSSE</x:v>
      </x:c>
      <x:c r="D25" s="71" t="str">
        <x:v>Dosificar mousse del sabor.</x:v>
      </x:c>
    </x:row>
    <x:row r="26">
      <x:c r="A26" s="69" t="str">
        <x:v>R-PAV-REF</x:v>
      </x:c>
      <x:c r="B26" s="70" t="n">
        <x:v>5</x:v>
      </x:c>
      <x:c r="C26" s="70" t="str">
        <x:v>REPETIR_CAPAS</x:v>
      </x:c>
      <x:c r="D26" s="71" t="str">
        <x:v>Repetir crema, Saltín y mousse según presentación.</x:v>
      </x:c>
    </x:row>
    <x:row r="27">
      <x:c r="A27" s="69" t="str">
        <x:v>R-PAV-REF</x:v>
      </x:c>
      <x:c r="B27" s="70" t="n">
        <x:v>6</x:v>
      </x:c>
      <x:c r="C27" s="70" t="str">
        <x:v>DECORAR</x:v>
      </x:c>
      <x:c r="D27" s="71" t="str">
        <x:v>Aplicar salsa y topping.</x:v>
      </x:c>
    </x:row>
    <x:row r="28">
      <x:c r="A28" s="69" t="str">
        <x:v>R-PAV-REF</x:v>
      </x:c>
      <x:c r="B28" s="70" t="n">
        <x:v>7</x:v>
      </x:c>
      <x:c r="C28" s="70" t="str">
        <x:v>REPOSAR_REF</x:v>
      </x:c>
      <x:c r="D28" s="71" t="str">
        <x:v>Refrigerar para integrar capas y ablandar parcialmente la galleta.</x:v>
      </x:c>
    </x:row>
    <x:row r="29">
      <x:c r="A29" s="69" t="str">
        <x:v>R-PAV-REF</x:v>
      </x:c>
      <x:c r="B29" s="70" t="n">
        <x:v>8</x:v>
      </x:c>
      <x:c r="C29" s="70" t="str">
        <x:v>COLOCAR_FIGURA</x:v>
      </x:c>
      <x:c r="D29" s="71" t="str">
        <x:v>Colocar figurita horizontal.</x:v>
      </x:c>
    </x:row>
    <x:row r="30">
      <x:c r="A30" s="69" t="str">
        <x:v>R-PAV-REF</x:v>
      </x:c>
      <x:c r="B30" s="70" t="n">
        <x:v>9</x:v>
      </x:c>
      <x:c r="C30" s="70" t="str">
        <x:v>EMPACAR</x:v>
      </x:c>
      <x:c r="D30" s="71" t="str">
        <x:v>Cerrar y etiquetar.</x:v>
      </x:c>
    </x:row>
    <x:row r="31">
      <x:c r="A31" s="69" t="str">
        <x:v>R-PAV-REF</x:v>
      </x:c>
      <x:c r="B31" s="70" t="n">
        <x:v>10</x:v>
      </x:c>
      <x:c r="C31" s="70" t="str">
        <x:v>LIBERAR</x:v>
      </x:c>
      <x:c r="D31" s="71" t="str">
        <x:v>Liberar como disponible refrigerado.</x:v>
      </x:c>
    </x:row>
    <x:row r="32">
      <x:c r="A32" s="69" t="str">
        <x:v>R-CUC-REF</x:v>
      </x:c>
      <x:c r="B32" s="70" t="n">
        <x:v>1</x:v>
      </x:c>
      <x:c r="C32" s="70" t="str">
        <x:v>VERIFICAR_COMPONENTES</x:v>
      </x:c>
      <x:c r="D32" s="71" t="str">
        <x:v>Confirmar mousse, cheesecake, crocante, salsa, topping y figurita.</x:v>
      </x:c>
    </x:row>
    <x:row r="33">
      <x:c r="A33" s="69" t="str">
        <x:v>R-CUC-REF</x:v>
      </x:c>
      <x:c r="B33" s="70" t="n">
        <x:v>2</x:v>
      </x:c>
      <x:c r="C33" s="70" t="str">
        <x:v>PREPARAR_ENVASE</x:v>
      </x:c>
      <x:c r="D33" s="71" t="str">
        <x:v>Identificar vaso/envase y lote.</x:v>
      </x:c>
    </x:row>
    <x:row r="34">
      <x:c r="A34" s="69" t="str">
        <x:v>R-CUC-REF</x:v>
      </x:c>
      <x:c r="B34" s="70" t="n">
        <x:v>3</x:v>
      </x:c>
      <x:c r="C34" s="70" t="str">
        <x:v>MONTAR_CAPAS</x:v>
      </x:c>
      <x:c r="D34" s="71" t="str">
        <x:v>Dosificar crocante, mousse, cheesecake y salsa en capas.</x:v>
      </x:c>
    </x:row>
    <x:row r="35">
      <x:c r="A35" s="69" t="str">
        <x:v>R-CUC-REF</x:v>
      </x:c>
      <x:c r="B35" s="70" t="n">
        <x:v>4</x:v>
      </x:c>
      <x:c r="C35" s="70" t="str">
        <x:v>TERMINAR</x:v>
      </x:c>
      <x:c r="D35" s="71" t="str">
        <x:v>Añadir topping y limpiar bordes.</x:v>
      </x:c>
    </x:row>
    <x:row r="36">
      <x:c r="A36" s="69" t="str">
        <x:v>R-CUC-REF</x:v>
      </x:c>
      <x:c r="B36" s="70" t="n">
        <x:v>5</x:v>
      </x:c>
      <x:c r="C36" s="70" t="str">
        <x:v>ESTABILIZAR_REF</x:v>
      </x:c>
      <x:c r="D36" s="71" t="str">
        <x:v>Refrigerar hasta la textura objetivo.</x:v>
      </x:c>
    </x:row>
    <x:row r="37">
      <x:c r="A37" s="69" t="str">
        <x:v>R-CUC-REF</x:v>
      </x:c>
      <x:c r="B37" s="70" t="n">
        <x:v>6</x:v>
      </x:c>
      <x:c r="C37" s="70" t="str">
        <x:v>COLOCAR_FIGURA</x:v>
      </x:c>
      <x:c r="D37" s="71" t="str">
        <x:v>Colocar figurita horizontal.</x:v>
      </x:c>
    </x:row>
    <x:row r="38">
      <x:c r="A38" s="69" t="str">
        <x:v>R-CUC-REF</x:v>
      </x:c>
      <x:c r="B38" s="70" t="n">
        <x:v>7</x:v>
      </x:c>
      <x:c r="C38" s="70" t="str">
        <x:v>EMPACAR</x:v>
      </x:c>
      <x:c r="D38" s="71" t="str">
        <x:v>Cerrar y etiquetar.</x:v>
      </x:c>
    </x:row>
    <x:row r="39">
      <x:c r="A39" s="69" t="str">
        <x:v>R-CUC-REF</x:v>
      </x:c>
      <x:c r="B39" s="70" t="n">
        <x:v>8</x:v>
      </x:c>
      <x:c r="C39" s="70" t="str">
        <x:v>LIBERAR</x:v>
      </x:c>
      <x:c r="D39" s="71" t="str">
        <x:v>Liberar como disponible refrigerado.</x:v>
      </x:c>
    </x:row>
    <x:row r="40">
      <x:c r="A40" s="69" t="str">
        <x:v>R-SUN-PED</x:v>
      </x:c>
      <x:c r="B40" s="70" t="n">
        <x:v>1</x:v>
      </x:c>
      <x:c r="C40" s="70" t="str">
        <x:v>RECIBIR_PEDIDO</x:v>
      </x:c>
      <x:c r="D40" s="71" t="str">
        <x:v>Crear preparación bajo pedido.</x:v>
      </x:c>
    </x:row>
    <x:row r="41">
      <x:c r="A41" s="69" t="str">
        <x:v>R-SUN-PED</x:v>
      </x:c>
      <x:c r="B41" s="70" t="n">
        <x:v>2</x:v>
      </x:c>
      <x:c r="C41" s="70" t="str">
        <x:v>RESERVAR_COMPONENTES</x:v>
      </x:c>
      <x:c r="D41" s="71" t="str">
        <x:v>Reservar mousse congelada, crema, salsa, crocante e inclusiones.</x:v>
      </x:c>
    </x:row>
    <x:row r="42">
      <x:c r="A42" s="69" t="str">
        <x:v>R-SUN-PED</x:v>
      </x:c>
      <x:c r="B42" s="70" t="n">
        <x:v>3</x:v>
      </x:c>
      <x:c r="C42" s="70" t="str">
        <x:v>PORCIONAR_MOUSSE</x:v>
      </x:c>
      <x:c r="D42" s="71" t="str">
        <x:v>Dosificar mousse o trozos aptos.</x:v>
      </x:c>
    </x:row>
    <x:row r="43">
      <x:c r="A43" s="69" t="str">
        <x:v>R-SUN-PED</x:v>
      </x:c>
      <x:c r="B43" s="70" t="n">
        <x:v>4</x:v>
      </x:c>
      <x:c r="C43" s="70" t="str">
        <x:v>ENSAMBLAR</x:v>
      </x:c>
      <x:c r="D43" s="71" t="str">
        <x:v>Añadir cheesecake/crema, salsa, crocante e inclusión.</x:v>
      </x:c>
    </x:row>
    <x:row r="44">
      <x:c r="A44" s="69" t="str">
        <x:v>R-SUN-PED</x:v>
      </x:c>
      <x:c r="B44" s="70" t="n">
        <x:v>5</x:v>
      </x:c>
      <x:c r="C44" s="70" t="str">
        <x:v>TERMINAR</x:v>
      </x:c>
      <x:c r="D44" s="71" t="str">
        <x:v>Aplicar topping.</x:v>
      </x:c>
    </x:row>
    <x:row r="45">
      <x:c r="A45" s="69" t="str">
        <x:v>R-SUN-PED</x:v>
      </x:c>
      <x:c r="B45" s="70" t="n">
        <x:v>6</x:v>
      </x:c>
      <x:c r="C45" s="70" t="str">
        <x:v>ENTREGAR</x:v>
      </x:c>
      <x:c r="D45" s="71" t="str">
        <x:v>Entregar inmediatamente; no crear stock terminado.</x:v>
      </x:c>
    </x:row>
    <x:row r="46">
      <x:c r="A46" s="69" t="str">
        <x:v>R-MAL-PED</x:v>
      </x:c>
      <x:c r="B46" s="70" t="n">
        <x:v>1</x:v>
      </x:c>
      <x:c r="C46" s="70" t="str">
        <x:v>RECIBIR_PEDIDO</x:v>
      </x:c>
      <x:c r="D46" s="71" t="str">
        <x:v>Crear preparación bajo pedido.</x:v>
      </x:c>
    </x:row>
    <x:row r="47">
      <x:c r="A47" s="69" t="str">
        <x:v>R-MAL-PED</x:v>
      </x:c>
      <x:c r="B47" s="70" t="n">
        <x:v>2</x:v>
      </x:c>
      <x:c r="C47" s="70" t="str">
        <x:v>RESERVAR_BASE</x:v>
      </x:c>
      <x:c r="D47" s="71" t="str">
        <x:v>Tomar mousse, figura o imperfecto apto trazable.</x:v>
      </x:c>
    </x:row>
    <x:row r="48">
      <x:c r="A48" s="69" t="str">
        <x:v>R-MAL-PED</x:v>
      </x:c>
      <x:c r="B48" s="70" t="n">
        <x:v>3</x:v>
      </x:c>
      <x:c r="C48" s="70" t="str">
        <x:v>LICUAR</x:v>
      </x:c>
      <x:c r="D48" s="71" t="str">
        <x:v>Licuar con leche/base líquida según ficha.</x:v>
      </x:c>
    </x:row>
    <x:row r="49">
      <x:c r="A49" s="69" t="str">
        <x:v>R-MAL-PED</x:v>
      </x:c>
      <x:c r="B49" s="70" t="n">
        <x:v>4</x:v>
      </x:c>
      <x:c r="C49" s="70" t="str">
        <x:v>AJUSTAR</x:v>
      </x:c>
      <x:c r="D49" s="71" t="str">
        <x:v>Verificar textura y ajustar.</x:v>
      </x:c>
    </x:row>
    <x:row r="50">
      <x:c r="A50" s="69" t="str">
        <x:v>R-MAL-PED</x:v>
      </x:c>
      <x:c r="B50" s="70" t="n">
        <x:v>5</x:v>
      </x:c>
      <x:c r="C50" s="70" t="str">
        <x:v>DECORAR</x:v>
      </x:c>
      <x:c r="D50" s="71" t="str">
        <x:v>Agregar salsa y topping.</x:v>
      </x:c>
    </x:row>
    <x:row r="51">
      <x:c r="A51" s="69" t="str">
        <x:v>R-MAL-PED</x:v>
      </x:c>
      <x:c r="B51" s="70" t="n">
        <x:v>6</x:v>
      </x:c>
      <x:c r="C51" s="70" t="str">
        <x:v>ENTREGAR</x:v>
      </x:c>
      <x:c r="D51" s="71" t="str">
        <x:v>Entregar inmediatamente.</x:v>
      </x:c>
    </x:row>
    <x:row r="52">
      <x:c r="A52" s="69" t="str">
        <x:v>R-CRZ-PED</x:v>
      </x:c>
      <x:c r="B52" s="70" t="n">
        <x:v>1</x:v>
      </x:c>
      <x:c r="C52" s="70" t="str">
        <x:v>RECIBIR_PEDIDO</x:v>
      </x:c>
      <x:c r="D52" s="71" t="str">
        <x:v>Crear preparación bajo pedido.</x:v>
      </x:c>
    </x:row>
    <x:row r="53">
      <x:c r="A53" s="69" t="str">
        <x:v>R-CRZ-PED</x:v>
      </x:c>
      <x:c r="B53" s="70" t="n">
        <x:v>2</x:v>
      </x:c>
      <x:c r="C53" s="70" t="str">
        <x:v>LICUAR_BASE</x:v>
      </x:c>
      <x:c r="D53" s="71" t="str">
        <x:v>Licuar hielo, agua, sirope, concentrado y ácido.</x:v>
      </x:c>
    </x:row>
    <x:row r="54">
      <x:c r="A54" s="69" t="str">
        <x:v>R-CRZ-PED</x:v>
      </x:c>
      <x:c r="B54" s="70" t="n">
        <x:v>3</x:v>
      </x:c>
      <x:c r="C54" s="70" t="str">
        <x:v>AGREGAR_MACERADO</x:v>
      </x:c>
      <x:c r="D54" s="71" t="str">
        <x:v>Agregar fruta macerada y chamoy/Tajín según versión.</x:v>
      </x:c>
    </x:row>
    <x:row r="55">
      <x:c r="A55" s="69" t="str">
        <x:v>R-CRZ-PED</x:v>
      </x:c>
      <x:c r="B55" s="70" t="n">
        <x:v>4</x:v>
      </x:c>
      <x:c r="C55" s="70" t="str">
        <x:v>DECORAR</x:v>
      </x:c>
      <x:c r="D55" s="71" t="str">
        <x:v>Terminar vaso y bordes.</x:v>
      </x:c>
    </x:row>
    <x:row r="56">
      <x:c r="A56" s="69" t="str">
        <x:v>R-CRZ-PED</x:v>
      </x:c>
      <x:c r="B56" s="70" t="n">
        <x:v>5</x:v>
      </x:c>
      <x:c r="C56" s="70" t="str">
        <x:v>ENTREGAR</x:v>
      </x:c>
      <x:c r="D56" s="71" t="str">
        <x:v>Entregar inmediatamente.</x:v>
      </x:c>
    </x:row>
    <x:row r="57">
      <x:c r="A57" s="69" t="str">
        <x:v>R-YGB-CONG</x:v>
      </x:c>
      <x:c r="B57" s="70" t="n">
        <x:v>1</x:v>
      </x:c>
      <x:c r="C57" s="70" t="str">
        <x:v>PREPARAR_MEZCLA</x:v>
      </x:c>
      <x:c r="D57" s="71" t="str">
        <x:v>Preparar yogurt, fruta, leche en polvo y endulzante.</x:v>
      </x:c>
    </x:row>
    <x:row r="58">
      <x:c r="A58" s="69" t="str">
        <x:v>R-YGB-CONG</x:v>
      </x:c>
      <x:c r="B58" s="70" t="n">
        <x:v>2</x:v>
      </x:c>
      <x:c r="C58" s="70" t="str">
        <x:v>PORCIONAR</x:v>
      </x:c>
      <x:c r="D58" s="71" t="str">
        <x:v>Dosificar en moldes.</x:v>
      </x:c>
    </x:row>
    <x:row r="59">
      <x:c r="A59" s="69" t="str">
        <x:v>R-YGB-CONG</x:v>
      </x:c>
      <x:c r="B59" s="70" t="n">
        <x:v>3</x:v>
      </x:c>
      <x:c r="C59" s="70" t="str">
        <x:v>CONGELAR</x:v>
      </x:c>
      <x:c r="D59" s="71" t="str">
        <x:v>Congelar hasta firmeza.</x:v>
      </x:c>
    </x:row>
    <x:row r="60">
      <x:c r="A60" s="69" t="str">
        <x:v>R-YGB-CONG</x:v>
      </x:c>
      <x:c r="B60" s="70" t="n">
        <x:v>4</x:v>
      </x:c>
      <x:c r="C60" s="70" t="str">
        <x:v>DESMOLDAR</x:v>
      </x:c>
      <x:c r="D60" s="71" t="str">
        <x:v>Desmoldar.</x:v>
      </x:c>
    </x:row>
    <x:row r="61">
      <x:c r="A61" s="69" t="str">
        <x:v>R-YGB-CONG</x:v>
      </x:c>
      <x:c r="B61" s="70" t="n">
        <x:v>5</x:v>
      </x:c>
      <x:c r="C61" s="70" t="str">
        <x:v>BANAR</x:v>
      </x:c>
      <x:c r="D61" s="71" t="str">
        <x:v>Bañar con chocolate/cobertura.</x:v>
      </x:c>
    </x:row>
    <x:row r="62">
      <x:c r="A62" s="69" t="str">
        <x:v>R-YGB-CONG</x:v>
      </x:c>
      <x:c r="B62" s="70" t="n">
        <x:v>6</x:v>
      </x:c>
      <x:c r="C62" s="70" t="str">
        <x:v>ESTABILIZAR</x:v>
      </x:c>
      <x:c r="D62" s="71" t="str">
        <x:v>Volver a congelar o estabilizar.</x:v>
      </x:c>
    </x:row>
    <x:row r="63">
      <x:c r="A63" s="69" t="str">
        <x:v>R-YGB-CONG</x:v>
      </x:c>
      <x:c r="B63" s="70" t="n">
        <x:v>7</x:v>
      </x:c>
      <x:c r="C63" s="70" t="str">
        <x:v>EMPACAR</x:v>
      </x:c>
      <x:c r="D63" s="71" t="str">
        <x:v>Empacar y etiquetar.</x:v>
      </x:c>
    </x:row>
    <x:row r="64">
      <x:c r="A64" s="72" t="str">
        <x:v>R-YGB-CONG</x:v>
      </x:c>
      <x:c r="B64" s="73" t="n">
        <x:v>8</x:v>
      </x:c>
      <x:c r="C64" s="73" t="str">
        <x:v>LIBERAR</x:v>
      </x:c>
      <x:c r="D64" s="74" t="str">
        <x:v>Liberar como disponible congelado.</x:v>
      </x:c>
    </x:row>
  </x:sheetData>
  <x:pageMargins left="0.7" right="0.7" top="0.75" bottom="0.75" header="0.3" footer="0.3"/>
  <x:tableParts count="1">
    <x:tablePart xmlns:r="http://schemas.openxmlformats.org/officeDocument/2006/relationships" r:id="R1cb90315fd4046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0" hidden="0" customWidth="1"/>
    <x:col min="4" max="4" width="10" hidden="0" customWidth="1"/>
    <x:col min="5" max="5" width="26" hidden="0" customWidth="1"/>
    <x:col min="6" max="6" width="22" hidden="0" customWidth="1"/>
    <x:col min="7" max="7" width="52" hidden="0" customWidth="1"/>
  </x:cols>
  <x:sheetData>
    <x:row r="1">
      <x:c r="A1" s="42" t="str">
        <x:v>Código componente</x:v>
      </x:c>
      <x:c r="B1" s="42" t="str">
        <x:v>Nombre</x:v>
      </x:c>
      <x:c r="C1" s="42" t="str">
        <x:v>Tipo</x:v>
      </x:c>
      <x:c r="D1" s="42" t="str">
        <x:v>Unidad</x:v>
      </x:c>
      <x:c r="E1" s="42" t="str">
        <x:v>Estado receta/insumo</x:v>
      </x:c>
      <x:c r="F1" s="42" t="str">
        <x:v>Necesario lanzamiento</x:v>
      </x:c>
      <x:c r="G1" s="42" t="str">
        <x:v>Nota</x:v>
      </x:c>
    </x:row>
    <x:row r="2">
      <x:c r="A2" s="66" t="str">
        <x:v>BASE-CARAMELO-SALADO</x:v>
      </x:c>
      <x:c r="B2" s="67" t="str">
        <x:v>Salsa/cobertura Caramelo salado</x:v>
      </x:c>
      <x:c r="C2" s="67" t="str">
        <x:v>SUBRECETA</x:v>
      </x:c>
      <x:c r="D2" s="67" t="str">
        <x:v>kg</x:v>
      </x:c>
      <x:c r="E2" s="67" t="str">
        <x:v>RECETA_EXISTENTE_REVISAR</x:v>
      </x:c>
      <x:c r="F2" s="67" t="str">
        <x:v>SI</x:v>
      </x:c>
      <x:c r="G2" s="68" t="str"/>
    </x:row>
    <x:row r="3">
      <x:c r="A3" s="69" t="str">
        <x:v>BASE-CHEESECAKE-NEUTRO</x:v>
      </x:c>
      <x:c r="B3" s="70" t="str">
        <x:v>Cheesecake neutro</x:v>
      </x:c>
      <x:c r="C3" s="70" t="str">
        <x:v>SUBRECETA</x:v>
      </x:c>
      <x:c r="D3" s="70" t="str">
        <x:v>kg</x:v>
      </x:c>
      <x:c r="E3" s="70" t="str">
        <x:v>RECETA_EXISTENTE_REVISAR</x:v>
      </x:c>
      <x:c r="F3" s="70" t="str">
        <x:v>SI</x:v>
      </x:c>
      <x:c r="G3" s="71" t="str"/>
    </x:row>
    <x:row r="4">
      <x:c r="A4" s="69" t="str">
        <x:v>BASE-CROCANTE-CHOCOLATE</x:v>
      </x:c>
      <x:c r="B4" s="70" t="str">
        <x:v>Base crocante</x:v>
      </x:c>
      <x:c r="C4" s="70" t="str">
        <x:v>SUBRECETA</x:v>
      </x:c>
      <x:c r="D4" s="70" t="str">
        <x:v>kg</x:v>
      </x:c>
      <x:c r="E4" s="70" t="str">
        <x:v>PENDIENTE_FICHA</x:v>
      </x:c>
      <x:c r="F4" s="70" t="str">
        <x:v>BLOQUEA_SKU_RELACIONADO</x:v>
      </x:c>
      <x:c r="G4" s="71" t="str"/>
    </x:row>
    <x:row r="5">
      <x:c r="A5" s="69" t="str">
        <x:v>BASE-CROCANTE-NEUTRO</x:v>
      </x:c>
      <x:c r="B5" s="70" t="str">
        <x:v>Base crocante</x:v>
      </x:c>
      <x:c r="C5" s="70" t="str">
        <x:v>SUBRECETA</x:v>
      </x:c>
      <x:c r="D5" s="70" t="str">
        <x:v>kg</x:v>
      </x:c>
      <x:c r="E5" s="70" t="str">
        <x:v>RECETA_EXISTENTE_REVISAR</x:v>
      </x:c>
      <x:c r="F5" s="70" t="str">
        <x:v>SI</x:v>
      </x:c>
      <x:c r="G5" s="71" t="str"/>
    </x:row>
    <x:row r="6">
      <x:c r="A6" s="69" t="str">
        <x:v>BASE-CROCANTE-OREO</x:v>
      </x:c>
      <x:c r="B6" s="70" t="str">
        <x:v>Base crocante</x:v>
      </x:c>
      <x:c r="C6" s="70" t="str">
        <x:v>SUBRECETA</x:v>
      </x:c>
      <x:c r="D6" s="70" t="str">
        <x:v>kg</x:v>
      </x:c>
      <x:c r="E6" s="70" t="str">
        <x:v>PENDIENTE_FICHA</x:v>
      </x:c>
      <x:c r="F6" s="70" t="str">
        <x:v>BLOQUEA_SKU_RELACIONADO</x:v>
      </x:c>
      <x:c r="G6" s="71" t="str"/>
    </x:row>
    <x:row r="7">
      <x:c r="A7" s="69" t="str">
        <x:v>BASE-CROCANTE-SALTIN</x:v>
      </x:c>
      <x:c r="B7" s="70" t="str">
        <x:v>Base crocante</x:v>
      </x:c>
      <x:c r="C7" s="70" t="str">
        <x:v>SUBRECETA</x:v>
      </x:c>
      <x:c r="D7" s="70" t="str">
        <x:v>kg</x:v>
      </x:c>
      <x:c r="E7" s="70" t="str">
        <x:v>PENDIENTE_FICHA</x:v>
      </x:c>
      <x:c r="F7" s="70" t="str">
        <x:v>BLOQUEA_SKU_RELACIONADO</x:v>
      </x:c>
      <x:c r="G7" s="71" t="str"/>
    </x:row>
    <x:row r="8">
      <x:c r="A8" s="69" t="str">
        <x:v>BASE-GANACHE-CHOCOLATE</x:v>
      </x:c>
      <x:c r="B8" s="70" t="str">
        <x:v>Ganache de chocolate</x:v>
      </x:c>
      <x:c r="C8" s="70" t="str">
        <x:v>SUBRECETA</x:v>
      </x:c>
      <x:c r="D8" s="70" t="str">
        <x:v>kg</x:v>
      </x:c>
      <x:c r="E8" s="70" t="str">
        <x:v>RECETA_EXISTENTE_REVISAR</x:v>
      </x:c>
      <x:c r="F8" s="70" t="str">
        <x:v>SI</x:v>
      </x:c>
      <x:c r="G8" s="71" t="str"/>
    </x:row>
    <x:row r="9">
      <x:c r="A9" s="69" t="str">
        <x:v>BASE-INCLUSION-BANANO</x:v>
      </x:c>
      <x:c r="B9" s="70" t="str">
        <x:v>Inclusión Banano</x:v>
      </x:c>
      <x:c r="C9" s="70" t="str">
        <x:v>SUBRECETA</x:v>
      </x:c>
      <x:c r="D9" s="70" t="str">
        <x:v>kg</x:v>
      </x:c>
      <x:c r="E9" s="70" t="str">
        <x:v>PENDIENTE_RECETA</x:v>
      </x:c>
      <x:c r="F9" s="70" t="str">
        <x:v>BLOQUEA_SKU_RELACIONADO</x:v>
      </x:c>
      <x:c r="G9" s="71" t="str"/>
    </x:row>
    <x:row r="10">
      <x:c r="A10" s="69" t="str">
        <x:v>BASE-INCLUSION-DURAZNO</x:v>
      </x:c>
      <x:c r="B10" s="70" t="str">
        <x:v>Inclusión Durazno</x:v>
      </x:c>
      <x:c r="C10" s="70" t="str">
        <x:v>SUBRECETA</x:v>
      </x:c>
      <x:c r="D10" s="70" t="str">
        <x:v>kg</x:v>
      </x:c>
      <x:c r="E10" s="70" t="str">
        <x:v>PENDIENTE_RECETA</x:v>
      </x:c>
      <x:c r="F10" s="70" t="str">
        <x:v>BLOQUEA_SKU_RELACIONADO</x:v>
      </x:c>
      <x:c r="G10" s="71" t="str"/>
    </x:row>
    <x:row r="11">
      <x:c r="A11" s="69" t="str">
        <x:v>BASE-INCLUSION-LIMON</x:v>
      </x:c>
      <x:c r="B11" s="70" t="str">
        <x:v>Inclusión Limón</x:v>
      </x:c>
      <x:c r="C11" s="70" t="str">
        <x:v>SUBRECETA</x:v>
      </x:c>
      <x:c r="D11" s="70" t="str">
        <x:v>kg</x:v>
      </x:c>
      <x:c r="E11" s="70" t="str">
        <x:v>PENDIENTE_RECETA</x:v>
      </x:c>
      <x:c r="F11" s="70" t="str">
        <x:v>BLOQUEA_SKU_RELACIONADO</x:v>
      </x:c>
      <x:c r="G11" s="71" t="str"/>
    </x:row>
    <x:row r="12">
      <x:c r="A12" s="69" t="str">
        <x:v>BASE-INCLUSION-MANGO-BICHE</x:v>
      </x:c>
      <x:c r="B12" s="70" t="str">
        <x:v>Inclusión Mango biche</x:v>
      </x:c>
      <x:c r="C12" s="70" t="str">
        <x:v>SUBRECETA</x:v>
      </x:c>
      <x:c r="D12" s="70" t="str">
        <x:v>kg</x:v>
      </x:c>
      <x:c r="E12" s="70" t="str">
        <x:v>PENDIENTE_RECETA</x:v>
      </x:c>
      <x:c r="F12" s="70" t="str">
        <x:v>BLOQUEA_SKU_RELACIONADO</x:v>
      </x:c>
      <x:c r="G12" s="71" t="str"/>
    </x:row>
    <x:row r="13">
      <x:c r="A13" s="69" t="str">
        <x:v>BASE-INCLUSION-MARACUYA</x:v>
      </x:c>
      <x:c r="B13" s="70" t="str">
        <x:v>Inclusión Maracuyá</x:v>
      </x:c>
      <x:c r="C13" s="70" t="str">
        <x:v>SUBRECETA</x:v>
      </x:c>
      <x:c r="D13" s="70" t="str">
        <x:v>kg</x:v>
      </x:c>
      <x:c r="E13" s="70" t="str">
        <x:v>PENDIENTE_RECETA</x:v>
      </x:c>
      <x:c r="F13" s="70" t="str">
        <x:v>BLOQUEA_SKU_RELACIONADO</x:v>
      </x:c>
      <x:c r="G13" s="71" t="str"/>
    </x:row>
    <x:row r="14">
      <x:c r="A14" s="69" t="str">
        <x:v>BASE-MOUSSE-BANANO</x:v>
      </x:c>
      <x:c r="B14" s="70" t="str">
        <x:v>Mousse Banano</x:v>
      </x:c>
      <x:c r="C14" s="70" t="str">
        <x:v>SUBRECETA</x:v>
      </x:c>
      <x:c r="D14" s="70" t="str">
        <x:v>kg</x:v>
      </x:c>
      <x:c r="E14" s="70" t="str">
        <x:v>RECETA_EXISTENTE_REVISAR</x:v>
      </x:c>
      <x:c r="F14" s="70" t="str">
        <x:v>SI</x:v>
      </x:c>
      <x:c r="G14" s="71" t="str">
        <x:v>Normalizar por 1000 g y validar rendimiento real por lote.</x:v>
      </x:c>
    </x:row>
    <x:row r="15">
      <x:c r="A15" s="69" t="str">
        <x:v>BASE-MOUSSE-CARAMELO-SALADO</x:v>
      </x:c>
      <x:c r="B15" s="70" t="str">
        <x:v>Mousse Caramelo salado</x:v>
      </x:c>
      <x:c r="C15" s="70" t="str">
        <x:v>SUBRECETA</x:v>
      </x:c>
      <x:c r="D15" s="70" t="str">
        <x:v>kg</x:v>
      </x:c>
      <x:c r="E15" s="70" t="str">
        <x:v>RECETA_EXISTENTE_REVISAR</x:v>
      </x:c>
      <x:c r="F15" s="70" t="str">
        <x:v>SI</x:v>
      </x:c>
      <x:c r="G15" s="71" t="str">
        <x:v>Normalizar por 1000 g y validar rendimiento real por lote.</x:v>
      </x:c>
    </x:row>
    <x:row r="16">
      <x:c r="A16" s="69" t="str">
        <x:v>BASE-MOUSSE-COCO</x:v>
      </x:c>
      <x:c r="B16" s="70" t="str">
        <x:v>Mousse Coco</x:v>
      </x:c>
      <x:c r="C16" s="70" t="str">
        <x:v>SUBRECETA</x:v>
      </x:c>
      <x:c r="D16" s="70" t="str">
        <x:v>kg</x:v>
      </x:c>
      <x:c r="E16" s="70" t="str">
        <x:v>RECETA_EXISTENTE_REVISAR</x:v>
      </x:c>
      <x:c r="F16" s="70" t="str">
        <x:v>SI</x:v>
      </x:c>
      <x:c r="G16" s="71" t="str">
        <x:v>Normalizar por 1000 g y validar rendimiento real por lote.</x:v>
      </x:c>
    </x:row>
    <x:row r="17">
      <x:c r="A17" s="69" t="str">
        <x:v>BASE-MOUSSE-DURAZNO</x:v>
      </x:c>
      <x:c r="B17" s="70" t="str">
        <x:v>Mousse Durazno</x:v>
      </x:c>
      <x:c r="C17" s="70" t="str">
        <x:v>SUBRECETA</x:v>
      </x:c>
      <x:c r="D17" s="70" t="str">
        <x:v>kg</x:v>
      </x:c>
      <x:c r="E17" s="70" t="str">
        <x:v>RECETA_EXISTENTE_REVISAR</x:v>
      </x:c>
      <x:c r="F17" s="70" t="str">
        <x:v>SI</x:v>
      </x:c>
      <x:c r="G17" s="71" t="str">
        <x:v>Normalizar por 1000 g y validar rendimiento real por lote.</x:v>
      </x:c>
    </x:row>
    <x:row r="18">
      <x:c r="A18" s="69" t="str">
        <x:v>BASE-MOUSSE-LIMON</x:v>
      </x:c>
      <x:c r="B18" s="70" t="str">
        <x:v>Mousse Limón</x:v>
      </x:c>
      <x:c r="C18" s="70" t="str">
        <x:v>SUBRECETA</x:v>
      </x:c>
      <x:c r="D18" s="70" t="str">
        <x:v>kg</x:v>
      </x:c>
      <x:c r="E18" s="70" t="str">
        <x:v>RECETA_EXISTENTE_REVISAR</x:v>
      </x:c>
      <x:c r="F18" s="70" t="str">
        <x:v>SI</x:v>
      </x:c>
      <x:c r="G18" s="71" t="str">
        <x:v>Normalizar por 1000 g y validar rendimiento real por lote.</x:v>
      </x:c>
    </x:row>
    <x:row r="19">
      <x:c r="A19" s="69" t="str">
        <x:v>BASE-MOUSSE-MANGO-BICHE</x:v>
      </x:c>
      <x:c r="B19" s="70" t="str">
        <x:v>Mousse Mango biche</x:v>
      </x:c>
      <x:c r="C19" s="70" t="str">
        <x:v>SUBRECETA</x:v>
      </x:c>
      <x:c r="D19" s="70" t="str">
        <x:v>kg</x:v>
      </x:c>
      <x:c r="E19" s="70" t="str">
        <x:v>RECETA_EXISTENTE_REVISAR</x:v>
      </x:c>
      <x:c r="F19" s="70" t="str">
        <x:v>SI</x:v>
      </x:c>
      <x:c r="G19" s="71" t="str">
        <x:v>Normalizar por 1000 g y validar rendimiento real por lote.</x:v>
      </x:c>
    </x:row>
    <x:row r="20">
      <x:c r="A20" s="69" t="str">
        <x:v>BASE-MOUSSE-MARACUYA</x:v>
      </x:c>
      <x:c r="B20" s="70" t="str">
        <x:v>Mousse Maracuyá</x:v>
      </x:c>
      <x:c r="C20" s="70" t="str">
        <x:v>SUBRECETA</x:v>
      </x:c>
      <x:c r="D20" s="70" t="str">
        <x:v>kg</x:v>
      </x:c>
      <x:c r="E20" s="70" t="str">
        <x:v>RECETA_EXISTENTE_REVISAR</x:v>
      </x:c>
      <x:c r="F20" s="70" t="str">
        <x:v>SI</x:v>
      </x:c>
      <x:c r="G20" s="71" t="str">
        <x:v>Normalizar por 1000 g y validar rendimiento real por lote.</x:v>
      </x:c>
    </x:row>
    <x:row r="21">
      <x:c r="A21" s="69" t="str">
        <x:v>BASE-MOUSSE-MILO</x:v>
      </x:c>
      <x:c r="B21" s="70" t="str">
        <x:v>Mousse Milo</x:v>
      </x:c>
      <x:c r="C21" s="70" t="str">
        <x:v>SUBRECETA</x:v>
      </x:c>
      <x:c r="D21" s="70" t="str">
        <x:v>kg</x:v>
      </x:c>
      <x:c r="E21" s="70" t="str">
        <x:v>RECETA_EXISTENTE_REVISAR</x:v>
      </x:c>
      <x:c r="F21" s="70" t="str">
        <x:v>SI</x:v>
      </x:c>
      <x:c r="G21" s="71" t="str">
        <x:v>Normalizar por 1000 g y validar rendimiento real por lote.</x:v>
      </x:c>
    </x:row>
    <x:row r="22">
      <x:c r="A22" s="69" t="str">
        <x:v>BASE-MOUSSE-MNM</x:v>
      </x:c>
      <x:c r="B22" s="70" t="str">
        <x:v>Mousse M&amp;M</x:v>
      </x:c>
      <x:c r="C22" s="70" t="str">
        <x:v>SUBRECETA</x:v>
      </x:c>
      <x:c r="D22" s="70" t="str">
        <x:v>kg</x:v>
      </x:c>
      <x:c r="E22" s="70" t="str">
        <x:v>RECETA_EXISTENTE_REVISAR</x:v>
      </x:c>
      <x:c r="F22" s="70" t="str">
        <x:v>SI</x:v>
      </x:c>
      <x:c r="G22" s="71" t="str">
        <x:v>Normalizar por 1000 g y validar rendimiento real por lote.</x:v>
      </x:c>
    </x:row>
    <x:row r="23">
      <x:c r="A23" s="69" t="str">
        <x:v>BASE-MOUSSE-NUTELLA</x:v>
      </x:c>
      <x:c r="B23" s="70" t="str">
        <x:v>Mousse Nutella</x:v>
      </x:c>
      <x:c r="C23" s="70" t="str">
        <x:v>SUBRECETA</x:v>
      </x:c>
      <x:c r="D23" s="70" t="str">
        <x:v>kg</x:v>
      </x:c>
      <x:c r="E23" s="70" t="str">
        <x:v>RECETA_EXISTENTE_REVISAR</x:v>
      </x:c>
      <x:c r="F23" s="70" t="str">
        <x:v>SI</x:v>
      </x:c>
      <x:c r="G23" s="71" t="str">
        <x:v>Normalizar por 1000 g y validar rendimiento real por lote.</x:v>
      </x:c>
    </x:row>
    <x:row r="24">
      <x:c r="A24" s="69" t="str">
        <x:v>BASE-MOUSSE-OREO</x:v>
      </x:c>
      <x:c r="B24" s="70" t="str">
        <x:v>Mousse Oreo</x:v>
      </x:c>
      <x:c r="C24" s="70" t="str">
        <x:v>SUBRECETA</x:v>
      </x:c>
      <x:c r="D24" s="70" t="str">
        <x:v>kg</x:v>
      </x:c>
      <x:c r="E24" s="70" t="str">
        <x:v>RECETA_EXISTENTE_REVISAR</x:v>
      </x:c>
      <x:c r="F24" s="70" t="str">
        <x:v>SI</x:v>
      </x:c>
      <x:c r="G24" s="71" t="str">
        <x:v>Normalizar por 1000 g y validar rendimiento real por lote.</x:v>
      </x:c>
    </x:row>
    <x:row r="25">
      <x:c r="A25" s="69" t="str">
        <x:v>BASE-SALSA-BANANO</x:v>
      </x:c>
      <x:c r="B25" s="70" t="str">
        <x:v>Salsa/cobertura Banano</x:v>
      </x:c>
      <x:c r="C25" s="70" t="str">
        <x:v>SUBRECETA</x:v>
      </x:c>
      <x:c r="D25" s="70" t="str">
        <x:v>kg</x:v>
      </x:c>
      <x:c r="E25" s="70" t="str">
        <x:v>PENDIENTE_RECETA</x:v>
      </x:c>
      <x:c r="F25" s="70" t="str">
        <x:v>BLOQUEA_SKU_RELACIONADO</x:v>
      </x:c>
      <x:c r="G25" s="71" t="str"/>
    </x:row>
    <x:row r="26">
      <x:c r="A26" s="69" t="str">
        <x:v>BASE-SALSA-CHOCOLATE</x:v>
      </x:c>
      <x:c r="B26" s="70" t="str">
        <x:v>Salsa/cobertura M&amp;M</x:v>
      </x:c>
      <x:c r="C26" s="70" t="str">
        <x:v>SUBRECETA</x:v>
      </x:c>
      <x:c r="D26" s="70" t="str">
        <x:v>kg</x:v>
      </x:c>
      <x:c r="E26" s="70" t="str">
        <x:v>PENDIENTE_RECETA</x:v>
      </x:c>
      <x:c r="F26" s="70" t="str">
        <x:v>BLOQUEA_SKU_RELACIONADO</x:v>
      </x:c>
      <x:c r="G26" s="71" t="str"/>
    </x:row>
    <x:row r="27">
      <x:c r="A27" s="69" t="str">
        <x:v>BASE-SALSA-DURAZNO</x:v>
      </x:c>
      <x:c r="B27" s="70" t="str">
        <x:v>Salsa/cobertura Durazno</x:v>
      </x:c>
      <x:c r="C27" s="70" t="str">
        <x:v>SUBRECETA</x:v>
      </x:c>
      <x:c r="D27" s="70" t="str">
        <x:v>kg</x:v>
      </x:c>
      <x:c r="E27" s="70" t="str">
        <x:v>PENDIENTE_RECETA</x:v>
      </x:c>
      <x:c r="F27" s="70" t="str">
        <x:v>BLOQUEA_SKU_RELACIONADO</x:v>
      </x:c>
      <x:c r="G27" s="71" t="str"/>
    </x:row>
    <x:row r="28">
      <x:c r="A28" s="69" t="str">
        <x:v>BASE-SALSA-LECHE-CONDENSADA</x:v>
      </x:c>
      <x:c r="B28" s="70" t="str">
        <x:v>Salsa/cobertura Coco</x:v>
      </x:c>
      <x:c r="C28" s="70" t="str">
        <x:v>SUBRECETA</x:v>
      </x:c>
      <x:c r="D28" s="70" t="str">
        <x:v>kg</x:v>
      </x:c>
      <x:c r="E28" s="70" t="str">
        <x:v>RECETA_EXISTENTE_REVISAR</x:v>
      </x:c>
      <x:c r="F28" s="70" t="str">
        <x:v>SI</x:v>
      </x:c>
      <x:c r="G28" s="71" t="str"/>
    </x:row>
    <x:row r="29">
      <x:c r="A29" s="69" t="str">
        <x:v>BASE-SALSA-LIMON</x:v>
      </x:c>
      <x:c r="B29" s="70" t="str">
        <x:v>Salsa/cobertura Limón</x:v>
      </x:c>
      <x:c r="C29" s="70" t="str">
        <x:v>SUBRECETA</x:v>
      </x:c>
      <x:c r="D29" s="70" t="str">
        <x:v>kg</x:v>
      </x:c>
      <x:c r="E29" s="70" t="str">
        <x:v>PENDIENTE_RECETA</x:v>
      </x:c>
      <x:c r="F29" s="70" t="str">
        <x:v>BLOQUEA_SKU_RELACIONADO</x:v>
      </x:c>
      <x:c r="G29" s="71" t="str"/>
    </x:row>
    <x:row r="30">
      <x:c r="A30" s="69" t="str">
        <x:v>BASE-SALSA-MANGO-BICHE</x:v>
      </x:c>
      <x:c r="B30" s="70" t="str">
        <x:v>Salsa/cobertura Mango biche</x:v>
      </x:c>
      <x:c r="C30" s="70" t="str">
        <x:v>SUBRECETA</x:v>
      </x:c>
      <x:c r="D30" s="70" t="str">
        <x:v>kg</x:v>
      </x:c>
      <x:c r="E30" s="70" t="str">
        <x:v>PENDIENTE_RECETA</x:v>
      </x:c>
      <x:c r="F30" s="70" t="str">
        <x:v>BLOQUEA_SKU_RELACIONADO</x:v>
      </x:c>
      <x:c r="G30" s="71" t="str"/>
    </x:row>
    <x:row r="31">
      <x:c r="A31" s="69" t="str">
        <x:v>BASE-SALSA-MARACUYA</x:v>
      </x:c>
      <x:c r="B31" s="70" t="str">
        <x:v>Salsa/cobertura Maracuyá</x:v>
      </x:c>
      <x:c r="C31" s="70" t="str">
        <x:v>SUBRECETA</x:v>
      </x:c>
      <x:c r="D31" s="70" t="str">
        <x:v>kg</x:v>
      </x:c>
      <x:c r="E31" s="70" t="str">
        <x:v>RECETA_EXISTENTE_REVISAR</x:v>
      </x:c>
      <x:c r="F31" s="70" t="str">
        <x:v>SI</x:v>
      </x:c>
      <x:c r="G31" s="71" t="str"/>
    </x:row>
    <x:row r="32">
      <x:c r="A32" s="69" t="str">
        <x:v>BASE-SALSA-NUTELLA</x:v>
      </x:c>
      <x:c r="B32" s="70" t="str">
        <x:v>Salsa/cobertura Nutella</x:v>
      </x:c>
      <x:c r="C32" s="70" t="str">
        <x:v>SUBRECETA</x:v>
      </x:c>
      <x:c r="D32" s="70" t="str">
        <x:v>kg</x:v>
      </x:c>
      <x:c r="E32" s="70" t="str">
        <x:v>PENDIENTE_RECETA</x:v>
      </x:c>
      <x:c r="F32" s="70" t="str">
        <x:v>BLOQUEA_SKU_RELACIONADO</x:v>
      </x:c>
      <x:c r="G32" s="71" t="str"/>
    </x:row>
    <x:row r="33">
      <x:c r="A33" s="69" t="str">
        <x:v>INS-COCO-RALLADO</x:v>
      </x:c>
      <x:c r="B33" s="70" t="str">
        <x:v>Inclusión Coco</x:v>
      </x:c>
      <x:c r="C33" s="70" t="str">
        <x:v>INSUMO_O_SUBRECETA</x:v>
      </x:c>
      <x:c r="D33" s="70" t="str">
        <x:v>kg</x:v>
      </x:c>
      <x:c r="E33" s="70" t="str">
        <x:v>INSUMO_EXISTENTE</x:v>
      </x:c>
      <x:c r="F33" s="70" t="str">
        <x:v>SI</x:v>
      </x:c>
      <x:c r="G33" s="71" t="str"/>
    </x:row>
    <x:row r="34">
      <x:c r="A34" s="69" t="str">
        <x:v>INS-GALLETA-SALTIN</x:v>
      </x:c>
      <x:c r="B34" s="70" t="str">
        <x:v>Galleta Saltín</x:v>
      </x:c>
      <x:c r="C34" s="70" t="str">
        <x:v>INSUMO</x:v>
      </x:c>
      <x:c r="D34" s="70" t="str">
        <x:v>kg</x:v>
      </x:c>
      <x:c r="E34" s="70" t="str">
        <x:v>INSUMO_EXISTENTE</x:v>
      </x:c>
      <x:c r="F34" s="70" t="str">
        <x:v>SI</x:v>
      </x:c>
      <x:c r="G34" s="71" t="str"/>
    </x:row>
    <x:row r="35">
      <x:c r="A35" s="69" t="str">
        <x:v>INS-MILO</x:v>
      </x:c>
      <x:c r="B35" s="70" t="str">
        <x:v>Inclusión Milo</x:v>
      </x:c>
      <x:c r="C35" s="70" t="str">
        <x:v>INSUMO_O_SUBRECETA</x:v>
      </x:c>
      <x:c r="D35" s="70" t="str">
        <x:v>kg</x:v>
      </x:c>
      <x:c r="E35" s="70" t="str">
        <x:v>INSUMO_EXISTENTE</x:v>
      </x:c>
      <x:c r="F35" s="70" t="str">
        <x:v>SI</x:v>
      </x:c>
      <x:c r="G35" s="71" t="str"/>
    </x:row>
    <x:row r="36">
      <x:c r="A36" s="69" t="str">
        <x:v>INS-MNM</x:v>
      </x:c>
      <x:c r="B36" s="70" t="str">
        <x:v>Inclusión M&amp;M</x:v>
      </x:c>
      <x:c r="C36" s="70" t="str">
        <x:v>INSUMO_O_SUBRECETA</x:v>
      </x:c>
      <x:c r="D36" s="70" t="str">
        <x:v>kg</x:v>
      </x:c>
      <x:c r="E36" s="70" t="str">
        <x:v>INSUMO_EXISTENTE</x:v>
      </x:c>
      <x:c r="F36" s="70" t="str">
        <x:v>SI</x:v>
      </x:c>
      <x:c r="G36" s="71" t="str"/>
    </x:row>
    <x:row r="37">
      <x:c r="A37" s="69" t="str">
        <x:v>INS-NUTELLA</x:v>
      </x:c>
      <x:c r="B37" s="70" t="str">
        <x:v>Inclusión Nutella</x:v>
      </x:c>
      <x:c r="C37" s="70" t="str">
        <x:v>INSUMO_O_SUBRECETA</x:v>
      </x:c>
      <x:c r="D37" s="70" t="str">
        <x:v>kg</x:v>
      </x:c>
      <x:c r="E37" s="70" t="str">
        <x:v>INSUMO_EXISTENTE</x:v>
      </x:c>
      <x:c r="F37" s="70" t="str">
        <x:v>SI</x:v>
      </x:c>
      <x:c r="G37" s="71" t="str"/>
    </x:row>
    <x:row r="38">
      <x:c r="A38" s="69" t="str">
        <x:v>INS-OREO-TRITURADA</x:v>
      </x:c>
      <x:c r="B38" s="70" t="str">
        <x:v>Inclusión Oreo</x:v>
      </x:c>
      <x:c r="C38" s="70" t="str">
        <x:v>INSUMO_O_SUBRECETA</x:v>
      </x:c>
      <x:c r="D38" s="70" t="str">
        <x:v>kg</x:v>
      </x:c>
      <x:c r="E38" s="70" t="str">
        <x:v>INSUMO_EXISTENTE</x:v>
      </x:c>
      <x:c r="F38" s="70" t="str">
        <x:v>SI</x:v>
      </x:c>
      <x:c r="G38" s="71" t="str"/>
    </x:row>
    <x:row r="39">
      <x:c r="A39" s="69" t="str">
        <x:v>TOP-AVELLANA</x:v>
      </x:c>
      <x:c r="B39" s="70" t="str">
        <x:v>Topping Nutella</x:v>
      </x:c>
      <x:c r="C39" s="70" t="str">
        <x:v>INSUMO_O_SUBRECETA</x:v>
      </x:c>
      <x:c r="D39" s="70" t="str">
        <x:v>kg</x:v>
      </x:c>
      <x:c r="E39" s="70" t="str">
        <x:v>INSUMO_EXISTENTE</x:v>
      </x:c>
      <x:c r="F39" s="70" t="str">
        <x:v>SI</x:v>
      </x:c>
      <x:c r="G39" s="71" t="str"/>
    </x:row>
    <x:row r="40">
      <x:c r="A40" s="69" t="str">
        <x:v>TOP-BANANO</x:v>
      </x:c>
      <x:c r="B40" s="70" t="str">
        <x:v>Topping Banano</x:v>
      </x:c>
      <x:c r="C40" s="70" t="str">
        <x:v>INSUMO_O_SUBRECETA</x:v>
      </x:c>
      <x:c r="D40" s="70" t="str">
        <x:v>kg</x:v>
      </x:c>
      <x:c r="E40" s="70" t="str">
        <x:v>INSUMO_EXISTENTE</x:v>
      </x:c>
      <x:c r="F40" s="70" t="str">
        <x:v>SI</x:v>
      </x:c>
      <x:c r="G40" s="71" t="str"/>
    </x:row>
    <x:row r="41">
      <x:c r="A41" s="69" t="str">
        <x:v>TOP-COCO-RALLADO</x:v>
      </x:c>
      <x:c r="B41" s="70" t="str">
        <x:v>Topping Coco</x:v>
      </x:c>
      <x:c r="C41" s="70" t="str">
        <x:v>INSUMO_O_SUBRECETA</x:v>
      </x:c>
      <x:c r="D41" s="70" t="str">
        <x:v>kg</x:v>
      </x:c>
      <x:c r="E41" s="70" t="str">
        <x:v>INSUMO_EXISTENTE</x:v>
      </x:c>
      <x:c r="F41" s="70" t="str">
        <x:v>SI</x:v>
      </x:c>
      <x:c r="G41" s="71" t="str"/>
    </x:row>
    <x:row r="42">
      <x:c r="A42" s="69" t="str">
        <x:v>TOP-CROCANTE-CARAMELO</x:v>
      </x:c>
      <x:c r="B42" s="70" t="str">
        <x:v>Topping Caramelo salado</x:v>
      </x:c>
      <x:c r="C42" s="70" t="str">
        <x:v>INSUMO_O_SUBRECETA</x:v>
      </x:c>
      <x:c r="D42" s="70" t="str">
        <x:v>kg</x:v>
      </x:c>
      <x:c r="E42" s="70" t="str">
        <x:v>INSUMO_EXISTENTE</x:v>
      </x:c>
      <x:c r="F42" s="70" t="str">
        <x:v>SI</x:v>
      </x:c>
      <x:c r="G42" s="71" t="str"/>
    </x:row>
    <x:row r="43">
      <x:c r="A43" s="69" t="str">
        <x:v>TOP-DURAZNO</x:v>
      </x:c>
      <x:c r="B43" s="70" t="str">
        <x:v>Topping Durazno</x:v>
      </x:c>
      <x:c r="C43" s="70" t="str">
        <x:v>INSUMO_O_SUBRECETA</x:v>
      </x:c>
      <x:c r="D43" s="70" t="str">
        <x:v>kg</x:v>
      </x:c>
      <x:c r="E43" s="70" t="str">
        <x:v>INSUMO_EXISTENTE</x:v>
      </x:c>
      <x:c r="F43" s="70" t="str">
        <x:v>SI</x:v>
      </x:c>
      <x:c r="G43" s="71" t="str"/>
    </x:row>
    <x:row r="44">
      <x:c r="A44" s="69" t="str">
        <x:v>TOP-MANGO-BICHE</x:v>
      </x:c>
      <x:c r="B44" s="70" t="str">
        <x:v>Topping Mango biche</x:v>
      </x:c>
      <x:c r="C44" s="70" t="str">
        <x:v>INSUMO_O_SUBRECETA</x:v>
      </x:c>
      <x:c r="D44" s="70" t="str">
        <x:v>kg</x:v>
      </x:c>
      <x:c r="E44" s="70" t="str">
        <x:v>INSUMO_EXISTENTE</x:v>
      </x:c>
      <x:c r="F44" s="70" t="str">
        <x:v>SI</x:v>
      </x:c>
      <x:c r="G44" s="71" t="str"/>
    </x:row>
    <x:row r="45">
      <x:c r="A45" s="69" t="str">
        <x:v>TOP-MARACUYA</x:v>
      </x:c>
      <x:c r="B45" s="70" t="str">
        <x:v>Topping Maracuyá</x:v>
      </x:c>
      <x:c r="C45" s="70" t="str">
        <x:v>INSUMO_O_SUBRECETA</x:v>
      </x:c>
      <x:c r="D45" s="70" t="str">
        <x:v>kg</x:v>
      </x:c>
      <x:c r="E45" s="70" t="str">
        <x:v>INSUMO_EXISTENTE</x:v>
      </x:c>
      <x:c r="F45" s="70" t="str">
        <x:v>SI</x:v>
      </x:c>
      <x:c r="G45" s="71" t="str"/>
    </x:row>
    <x:row r="46">
      <x:c r="A46" s="69" t="str">
        <x:v>TOP-MILO</x:v>
      </x:c>
      <x:c r="B46" s="70" t="str">
        <x:v>Topping Milo</x:v>
      </x:c>
      <x:c r="C46" s="70" t="str">
        <x:v>INSUMO_O_SUBRECETA</x:v>
      </x:c>
      <x:c r="D46" s="70" t="str">
        <x:v>kg</x:v>
      </x:c>
      <x:c r="E46" s="70" t="str">
        <x:v>INSUMO_EXISTENTE</x:v>
      </x:c>
      <x:c r="F46" s="70" t="str">
        <x:v>SI</x:v>
      </x:c>
      <x:c r="G46" s="71" t="str"/>
    </x:row>
    <x:row r="47">
      <x:c r="A47" s="69" t="str">
        <x:v>TOP-MNM</x:v>
      </x:c>
      <x:c r="B47" s="70" t="str">
        <x:v>Topping M&amp;M</x:v>
      </x:c>
      <x:c r="C47" s="70" t="str">
        <x:v>INSUMO_O_SUBRECETA</x:v>
      </x:c>
      <x:c r="D47" s="70" t="str">
        <x:v>kg</x:v>
      </x:c>
      <x:c r="E47" s="70" t="str">
        <x:v>INSUMO_EXISTENTE</x:v>
      </x:c>
      <x:c r="F47" s="70" t="str">
        <x:v>SI</x:v>
      </x:c>
      <x:c r="G47" s="71" t="str"/>
    </x:row>
    <x:row r="48">
      <x:c r="A48" s="69" t="str">
        <x:v>TOP-OREO-TRITURADA</x:v>
      </x:c>
      <x:c r="B48" s="70" t="str">
        <x:v>Topping Oreo</x:v>
      </x:c>
      <x:c r="C48" s="70" t="str">
        <x:v>INSUMO_O_SUBRECETA</x:v>
      </x:c>
      <x:c r="D48" s="70" t="str">
        <x:v>kg</x:v>
      </x:c>
      <x:c r="E48" s="70" t="str">
        <x:v>INSUMO_EXISTENTE</x:v>
      </x:c>
      <x:c r="F48" s="70" t="str">
        <x:v>SI</x:v>
      </x:c>
      <x:c r="G48" s="71" t="str"/>
    </x:row>
    <x:row r="49">
      <x:c r="A49" s="72" t="str">
        <x:v>TOP-RALLADURA-LIMON</x:v>
      </x:c>
      <x:c r="B49" s="73" t="str">
        <x:v>Topping Limón</x:v>
      </x:c>
      <x:c r="C49" s="73" t="str">
        <x:v>INSUMO_O_SUBRECETA</x:v>
      </x:c>
      <x:c r="D49" s="73" t="str">
        <x:v>kg</x:v>
      </x:c>
      <x:c r="E49" s="73" t="str">
        <x:v>INSUMO_EXISTENTE</x:v>
      </x:c>
      <x:c r="F49" s="73" t="str">
        <x:v>SI</x:v>
      </x:c>
      <x:c r="G49" s="74" t="str"/>
    </x:row>
  </x:sheetData>
  <x:conditionalFormatting sqref="E2:E49">
    <x:cfRule type="expression" dxfId="2" priority="1">
      <x:formula>LEFT(E2,9)="PENDIENTE"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2fd063ed7745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0" hidden="0" customWidth="1"/>
    <x:col min="4" max="4" width="30" hidden="0" customWidth="1"/>
    <x:col min="5" max="5" width="18" hidden="0" customWidth="1"/>
    <x:col min="6" max="6" width="14" hidden="0" customWidth="1"/>
    <x:col min="7" max="7" width="28" hidden="0" customWidth="1"/>
    <x:col min="8" max="8" width="62" hidden="0" customWidth="1"/>
  </x:cols>
  <x:sheetData>
    <x:row r="1">
      <x:c r="A1" s="42" t="str">
        <x:v>Código item</x:v>
      </x:c>
      <x:c r="B1" s="42" t="str">
        <x:v>Nombre</x:v>
      </x:c>
      <x:c r="C1" s="42" t="str">
        <x:v>Unidad</x:v>
      </x:c>
      <x:c r="D1" s="42" t="str">
        <x:v>Mousse origen</x:v>
      </x:c>
      <x:c r="E1" s="42" t="str">
        <x:v>Cantidad mousse kg</x:v>
      </x:c>
      <x:c r="F1" s="42" t="str">
        <x:v>Peso real g</x:v>
      </x:c>
      <x:c r="G1" s="42" t="str">
        <x:v>Estado</x:v>
      </x:c>
      <x:c r="H1" s="42" t="str">
        <x:v>Nota</x:v>
      </x:c>
    </x:row>
    <x:row r="2">
      <x:c r="A2" s="66" t="str">
        <x:v>FIG-HOR-MBI</x:v>
      </x:c>
      <x:c r="B2" s="67" t="str">
        <x:v>Figurita horizontal Mango biche</x:v>
      </x:c>
      <x:c r="C2" s="67" t="str">
        <x:v>und</x:v>
      </x:c>
      <x:c r="D2" s="67" t="str">
        <x:v>BASE-MOUSSE-MANGO-BICHE</x:v>
      </x:c>
      <x:c r="E2" s="67"/>
      <x:c r="F2" s="67"/>
      <x:c r="G2" s="67" t="str">
        <x:v>PENDIENTE_PESAJE_MOLDE</x:v>
      </x:c>
      <x:c r="H2" s="68" t="str">
        <x:v>Producir como semiterminado por lote; su BOM se cierra cuando se pese una unidad terminada del molde.</x:v>
      </x:c>
    </x:row>
    <x:row r="3">
      <x:c r="A3" s="69" t="str">
        <x:v>FIG-HOR-COC</x:v>
      </x:c>
      <x:c r="B3" s="70" t="str">
        <x:v>Figurita horizontal Coco</x:v>
      </x:c>
      <x:c r="C3" s="70" t="str">
        <x:v>und</x:v>
      </x:c>
      <x:c r="D3" s="70" t="str">
        <x:v>BASE-MOUSSE-COCO</x:v>
      </x:c>
      <x:c r="E3" s="70"/>
      <x:c r="F3" s="70"/>
      <x:c r="G3" s="70" t="str">
        <x:v>PENDIENTE_PESAJE_MOLDE</x:v>
      </x:c>
      <x:c r="H3" s="71" t="str">
        <x:v>Producir como semiterminado por lote; su BOM se cierra cuando se pese una unidad terminada del molde.</x:v>
      </x:c>
    </x:row>
    <x:row r="4">
      <x:c r="A4" s="69" t="str">
        <x:v>FIG-HOR-MAR</x:v>
      </x:c>
      <x:c r="B4" s="70" t="str">
        <x:v>Figurita horizontal Maracuyá</x:v>
      </x:c>
      <x:c r="C4" s="70" t="str">
        <x:v>und</x:v>
      </x:c>
      <x:c r="D4" s="70" t="str">
        <x:v>BASE-MOUSSE-MARACUYA</x:v>
      </x:c>
      <x:c r="E4" s="70"/>
      <x:c r="F4" s="70"/>
      <x:c r="G4" s="70" t="str">
        <x:v>PENDIENTE_PESAJE_MOLDE</x:v>
      </x:c>
      <x:c r="H4" s="71" t="str">
        <x:v>Producir como semiterminado por lote; su BOM se cierra cuando se pese una unidad terminada del molde.</x:v>
      </x:c>
    </x:row>
    <x:row r="5">
      <x:c r="A5" s="69" t="str">
        <x:v>FIG-HOR-LIM</x:v>
      </x:c>
      <x:c r="B5" s="70" t="str">
        <x:v>Figurita horizontal Limón</x:v>
      </x:c>
      <x:c r="C5" s="70" t="str">
        <x:v>und</x:v>
      </x:c>
      <x:c r="D5" s="70" t="str">
        <x:v>BASE-MOUSSE-LIMON</x:v>
      </x:c>
      <x:c r="E5" s="70"/>
      <x:c r="F5" s="70"/>
      <x:c r="G5" s="70" t="str">
        <x:v>PENDIENTE_PESAJE_MOLDE</x:v>
      </x:c>
      <x:c r="H5" s="71" t="str">
        <x:v>Producir como semiterminado por lote; su BOM se cierra cuando se pese una unidad terminada del molde.</x:v>
      </x:c>
    </x:row>
    <x:row r="6">
      <x:c r="A6" s="69" t="str">
        <x:v>FIG-HOR-BAN</x:v>
      </x:c>
      <x:c r="B6" s="70" t="str">
        <x:v>Figurita horizontal Banano</x:v>
      </x:c>
      <x:c r="C6" s="70" t="str">
        <x:v>und</x:v>
      </x:c>
      <x:c r="D6" s="70" t="str">
        <x:v>BASE-MOUSSE-BANANO</x:v>
      </x:c>
      <x:c r="E6" s="70"/>
      <x:c r="F6" s="70"/>
      <x:c r="G6" s="70" t="str">
        <x:v>PENDIENTE_PESAJE_MOLDE</x:v>
      </x:c>
      <x:c r="H6" s="71" t="str">
        <x:v>Producir como semiterminado por lote; su BOM se cierra cuando se pese una unidad terminada del molde.</x:v>
      </x:c>
    </x:row>
    <x:row r="7">
      <x:c r="A7" s="69" t="str">
        <x:v>FIG-HOR-DUR</x:v>
      </x:c>
      <x:c r="B7" s="70" t="str">
        <x:v>Figurita horizontal Durazno</x:v>
      </x:c>
      <x:c r="C7" s="70" t="str">
        <x:v>und</x:v>
      </x:c>
      <x:c r="D7" s="70" t="str">
        <x:v>BASE-MOUSSE-DURAZNO</x:v>
      </x:c>
      <x:c r="E7" s="70"/>
      <x:c r="F7" s="70"/>
      <x:c r="G7" s="70" t="str">
        <x:v>PENDIENTE_PESAJE_MOLDE</x:v>
      </x:c>
      <x:c r="H7" s="71" t="str">
        <x:v>Producir como semiterminado por lote; su BOM se cierra cuando se pese una unidad terminada del molde.</x:v>
      </x:c>
    </x:row>
    <x:row r="8">
      <x:c r="A8" s="69" t="str">
        <x:v>FIG-HOR-MNM</x:v>
      </x:c>
      <x:c r="B8" s="70" t="str">
        <x:v>Figurita horizontal M&amp;M</x:v>
      </x:c>
      <x:c r="C8" s="70" t="str">
        <x:v>und</x:v>
      </x:c>
      <x:c r="D8" s="70" t="str">
        <x:v>BASE-MOUSSE-MNM</x:v>
      </x:c>
      <x:c r="E8" s="70"/>
      <x:c r="F8" s="70"/>
      <x:c r="G8" s="70" t="str">
        <x:v>PENDIENTE_PESAJE_MOLDE</x:v>
      </x:c>
      <x:c r="H8" s="71" t="str">
        <x:v>Producir como semiterminado por lote; su BOM se cierra cuando se pese una unidad terminada del molde.</x:v>
      </x:c>
    </x:row>
    <x:row r="9">
      <x:c r="A9" s="69" t="str">
        <x:v>FIG-HOR-ORE</x:v>
      </x:c>
      <x:c r="B9" s="70" t="str">
        <x:v>Figurita horizontal Oreo</x:v>
      </x:c>
      <x:c r="C9" s="70" t="str">
        <x:v>und</x:v>
      </x:c>
      <x:c r="D9" s="70" t="str">
        <x:v>BASE-MOUSSE-OREO</x:v>
      </x:c>
      <x:c r="E9" s="70"/>
      <x:c r="F9" s="70"/>
      <x:c r="G9" s="70" t="str">
        <x:v>PENDIENTE_PESAJE_MOLDE</x:v>
      </x:c>
      <x:c r="H9" s="71" t="str">
        <x:v>Producir como semiterminado por lote; su BOM se cierra cuando se pese una unidad terminada del molde.</x:v>
      </x:c>
    </x:row>
    <x:row r="10">
      <x:c r="A10" s="69" t="str">
        <x:v>FIG-HOR-CSL</x:v>
      </x:c>
      <x:c r="B10" s="70" t="str">
        <x:v>Figurita horizontal Caramelo salado</x:v>
      </x:c>
      <x:c r="C10" s="70" t="str">
        <x:v>und</x:v>
      </x:c>
      <x:c r="D10" s="70" t="str">
        <x:v>BASE-MOUSSE-CARAMELO-SALADO</x:v>
      </x:c>
      <x:c r="E10" s="70"/>
      <x:c r="F10" s="70"/>
      <x:c r="G10" s="70" t="str">
        <x:v>PENDIENTE_PESAJE_MOLDE</x:v>
      </x:c>
      <x:c r="H10" s="71" t="str">
        <x:v>Producir como semiterminado por lote; su BOM se cierra cuando se pese una unidad terminada del molde.</x:v>
      </x:c>
    </x:row>
    <x:row r="11">
      <x:c r="A11" s="69" t="str">
        <x:v>FIG-HOR-NUT</x:v>
      </x:c>
      <x:c r="B11" s="70" t="str">
        <x:v>Figurita horizontal Nutella</x:v>
      </x:c>
      <x:c r="C11" s="70" t="str">
        <x:v>und</x:v>
      </x:c>
      <x:c r="D11" s="70" t="str">
        <x:v>BASE-MOUSSE-NUTELLA</x:v>
      </x:c>
      <x:c r="E11" s="70"/>
      <x:c r="F11" s="70"/>
      <x:c r="G11" s="70" t="str">
        <x:v>PENDIENTE_PESAJE_MOLDE</x:v>
      </x:c>
      <x:c r="H11" s="71" t="str">
        <x:v>Producir como semiterminado por lote; su BOM se cierra cuando se pese una unidad terminada del molde.</x:v>
      </x:c>
    </x:row>
    <x:row r="12">
      <x:c r="A12" s="72" t="str">
        <x:v>FIG-HOR-MIL</x:v>
      </x:c>
      <x:c r="B12" s="73" t="str">
        <x:v>Figurita horizontal Milo</x:v>
      </x:c>
      <x:c r="C12" s="73" t="str">
        <x:v>und</x:v>
      </x:c>
      <x:c r="D12" s="73" t="str">
        <x:v>BASE-MOUSSE-MILO</x:v>
      </x:c>
      <x:c r="E12" s="73"/>
      <x:c r="F12" s="73"/>
      <x:c r="G12" s="73" t="str">
        <x:v>PENDIENTE_PESAJE_MOLDE</x:v>
      </x:c>
      <x:c r="H12" s="74" t="str">
        <x:v>Producir como semiterminado por lote; su BOM se cierra cuando se pese una unidad terminada del molde.</x:v>
      </x:c>
    </x:row>
  </x:sheetData>
  <x:pageMargins left="0.7" right="0.7" top="0.75" bottom="0.75" header="0.3" footer="0.3"/>
  <x:tableParts count="1">
    <x:tablePart xmlns:r="http://schemas.openxmlformats.org/officeDocument/2006/relationships" r:id="R01ca7e4a7ddb4e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2" hidden="0" customWidth="1"/>
  </x:cols>
  <x:sheetData>
    <x:row r="1">
      <x:c r="A1" s="42" t="str">
        <x:v>Producto/familia</x:v>
      </x:c>
      <x:c r="B1" s="42" t="str">
        <x:v>Estado</x:v>
      </x:c>
      <x:c r="C1" s="42" t="str">
        <x:v>Tratamiento en Momos Ops</x:v>
      </x:c>
    </x:row>
    <x:row r="2">
      <x:c r="A2" s="66" t="str">
        <x:v>CREPAS</x:v>
      </x:c>
      <x:c r="B2" s="67" t="str">
        <x:v>EN_ESPERA</x:v>
      </x:c>
      <x:c r="C2" s="68" t="str">
        <x:v>Fase futura; no visible ni descontable en lanzamiento.</x:v>
      </x:c>
    </x:row>
    <x:row r="3">
      <x:c r="A3" s="69" t="str">
        <x:v>SANDWICHES_CALIENTES</x:v>
      </x:c>
      <x:c r="B3" s="70" t="str">
        <x:v>EN_ESPERA</x:v>
      </x:c>
      <x:c r="C3" s="71" t="str">
        <x:v>Fase futura; no visible ni descontable en lanzamiento.</x:v>
      </x:c>
    </x:row>
    <x:row r="4">
      <x:c r="A4" s="69" t="str">
        <x:v>PALETAS</x:v>
      </x:c>
      <x:c r="B4" s="70" t="str">
        <x:v>PAUSADO</x:v>
      </x:c>
      <x:c r="C4" s="71" t="str">
        <x:v>Conservar en roadmap, sin producción activa.</x:v>
      </x:c>
    </x:row>
    <x:row r="5">
      <x:c r="A5" s="69" t="str">
        <x:v>TIRAMISU</x:v>
      </x:c>
      <x:c r="B5" s="70" t="str">
        <x:v>DESCARTADO</x:v>
      </x:c>
      <x:c r="C5" s="71" t="str">
        <x:v>Reemplazado por Pavé MOMOS.</x:v>
      </x:c>
    </x:row>
    <x:row r="6">
      <x:c r="A6" s="69" t="str">
        <x:v>BOWL_MOMOS</x:v>
      </x:c>
      <x:c r="B6" s="70" t="str">
        <x:v>DESCARTADO</x:v>
      </x:c>
      <x:c r="C6" s="71" t="str">
        <x:v>Se conserva Sundae MOMOS.</x:v>
      </x:c>
    </x:row>
    <x:row r="7">
      <x:c r="A7" s="72" t="str">
        <x:v>TARTALETA_MOMOS</x:v>
      </x:c>
      <x:c r="B7" s="73" t="str">
        <x:v>DESCARTADO</x:v>
      </x:c>
      <x:c r="C7" s="74" t="str">
        <x:v>Fuera del catálogo comercial.</x:v>
      </x:c>
    </x:row>
  </x:sheetData>
  <x:pageMargins left="0.7" right="0.7" top="0.75" bottom="0.75" header="0.3" footer="0.3"/>
  <x:tableParts count="1">
    <x:tablePart xmlns:r="http://schemas.openxmlformats.org/officeDocument/2006/relationships" r:id="Rc2ef22253d064ff2"/>
  </x:tableParts>
</x:worksheet>
</file>